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C:\Users\24H2&amp;5\Documents\카카오톡 받은 파일\"/>
    </mc:Choice>
  </mc:AlternateContent>
  <xr:revisionPtr revIDLastSave="0" documentId="13_ncr:1_{3C430090-C7F3-4C64-9603-8FCC3526265B}" xr6:coauthVersionLast="47" xr6:coauthVersionMax="47" xr10:uidLastSave="{00000000-0000-0000-0000-000000000000}"/>
  <bookViews>
    <workbookView xWindow="-108" yWindow="-108" windowWidth="23256" windowHeight="12456" tabRatio="894" xr2:uid="{00000000-000D-0000-FFFF-FFFF00000000}"/>
  </bookViews>
  <sheets>
    <sheet name="8시간(8hx6)_1월" sheetId="12" r:id="rId1"/>
    <sheet name="8시간(8hx6)_2월" sheetId="11" r:id="rId2"/>
    <sheet name="8시간(8hx6)_3월" sheetId="10" r:id="rId3"/>
    <sheet name="8시간(8hx6)_4월" sheetId="9" r:id="rId4"/>
    <sheet name="8시간(8hx6)_5월" sheetId="8" r:id="rId5"/>
    <sheet name="8시간(8hx6)_6월" sheetId="7" r:id="rId6"/>
    <sheet name="8시간(8hx6)_7월" sheetId="6" r:id="rId7"/>
    <sheet name="8시간(8hx6)_8월" sheetId="5" r:id="rId8"/>
    <sheet name="8시간(8hx6)_9월" sheetId="4" r:id="rId9"/>
    <sheet name="8시간(8hx6)_10월" sheetId="3" r:id="rId10"/>
    <sheet name="8시간(8hx6)_11월" sheetId="2" r:id="rId11"/>
    <sheet name="8시간(8hx6)_12월" sheetId="1" r:id="rId12"/>
  </sheets>
  <definedNames>
    <definedName name="_xlnm.Print_Area" localSheetId="9">'8시간(8hx6)_10월'!$A$1:$J$51</definedName>
    <definedName name="_xlnm.Print_Area" localSheetId="10">'8시간(8hx6)_11월'!$A$1:$J$51</definedName>
    <definedName name="_xlnm.Print_Area" localSheetId="11">'8시간(8hx6)_12월'!$A$1:$J$51</definedName>
    <definedName name="_xlnm.Print_Area" localSheetId="0">'8시간(8hx6)_1월'!$A$1:$J$51</definedName>
    <definedName name="_xlnm.Print_Area" localSheetId="1">'8시간(8hx6)_2월'!$A$1:$J$51</definedName>
    <definedName name="_xlnm.Print_Area" localSheetId="2">'8시간(8hx6)_3월'!$A$1:$J$51</definedName>
    <definedName name="_xlnm.Print_Area" localSheetId="3">'8시간(8hx6)_4월'!$A$1:$J$51</definedName>
    <definedName name="_xlnm.Print_Area" localSheetId="4">'8시간(8hx6)_5월'!$A$1:$J$51</definedName>
    <definedName name="_xlnm.Print_Area" localSheetId="5">'8시간(8hx6)_6월'!$A$1:$J$51</definedName>
    <definedName name="_xlnm.Print_Area" localSheetId="6">'8시간(8hx6)_7월'!$A$1:$J$51</definedName>
    <definedName name="_xlnm.Print_Area" localSheetId="7">'8시간(8hx6)_8월'!$A$1:$J$51</definedName>
    <definedName name="_xlnm.Print_Area" localSheetId="8">'8시간(8hx6)_9월'!$A$1:$J$51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5" i="12" l="1"/>
  <c r="L24" i="11" l="1"/>
  <c r="R12" i="12" l="1"/>
  <c r="S11" i="12"/>
  <c r="R14" i="12"/>
  <c r="R13" i="12"/>
  <c r="C48" i="5" l="1"/>
  <c r="P13" i="1"/>
  <c r="C48" i="12"/>
  <c r="P13" i="12"/>
  <c r="P12" i="12"/>
  <c r="P11" i="12"/>
  <c r="P10" i="12"/>
  <c r="C48" i="11"/>
  <c r="P13" i="11"/>
  <c r="P12" i="11"/>
  <c r="P11" i="11"/>
  <c r="P10" i="11"/>
  <c r="C48" i="10"/>
  <c r="P13" i="10"/>
  <c r="P12" i="10"/>
  <c r="P11" i="10"/>
  <c r="P10" i="10"/>
  <c r="C48" i="9"/>
  <c r="P13" i="9"/>
  <c r="P12" i="9"/>
  <c r="P11" i="9"/>
  <c r="P10" i="9"/>
  <c r="C48" i="8"/>
  <c r="P13" i="8"/>
  <c r="P12" i="8"/>
  <c r="P11" i="8"/>
  <c r="P10" i="8"/>
  <c r="C48" i="7"/>
  <c r="P13" i="7"/>
  <c r="P12" i="7"/>
  <c r="P11" i="7"/>
  <c r="P10" i="7"/>
  <c r="C48" i="6"/>
  <c r="P13" i="6"/>
  <c r="P12" i="6"/>
  <c r="P11" i="6"/>
  <c r="P10" i="6"/>
  <c r="P13" i="5"/>
  <c r="P12" i="5"/>
  <c r="P11" i="5"/>
  <c r="P10" i="5"/>
  <c r="C48" i="4"/>
  <c r="P13" i="4"/>
  <c r="P12" i="4"/>
  <c r="P11" i="4"/>
  <c r="P10" i="4"/>
  <c r="C48" i="3"/>
  <c r="P13" i="3"/>
  <c r="P12" i="3"/>
  <c r="P11" i="3"/>
  <c r="P10" i="3"/>
  <c r="C48" i="2"/>
  <c r="P13" i="2"/>
  <c r="P12" i="2"/>
  <c r="P11" i="2"/>
  <c r="P10" i="2"/>
  <c r="P15" i="11" l="1"/>
  <c r="Q14" i="11" s="1"/>
  <c r="I23" i="11" s="1"/>
  <c r="I24" i="11" s="1"/>
  <c r="P15" i="12"/>
  <c r="Q14" i="12" s="1"/>
  <c r="I23" i="12" s="1"/>
  <c r="I24" i="12" s="1"/>
  <c r="P15" i="6"/>
  <c r="Q14" i="6" s="1"/>
  <c r="I23" i="6" s="1"/>
  <c r="I24" i="6" s="1"/>
  <c r="P15" i="2"/>
  <c r="Q14" i="2" s="1"/>
  <c r="I23" i="2" s="1"/>
  <c r="I24" i="2" s="1"/>
  <c r="P15" i="9"/>
  <c r="Q14" i="9" s="1"/>
  <c r="I23" i="9" s="1"/>
  <c r="I24" i="9" s="1"/>
  <c r="P15" i="5"/>
  <c r="Q13" i="5" s="1"/>
  <c r="G23" i="5" s="1"/>
  <c r="G24" i="5" s="1"/>
  <c r="P15" i="7"/>
  <c r="Q14" i="7" s="1"/>
  <c r="I23" i="7" s="1"/>
  <c r="I24" i="7" s="1"/>
  <c r="P15" i="10"/>
  <c r="Q14" i="10" s="1"/>
  <c r="I23" i="10" s="1"/>
  <c r="I24" i="10" s="1"/>
  <c r="P15" i="8"/>
  <c r="Q14" i="8" s="1"/>
  <c r="I23" i="8" s="1"/>
  <c r="I24" i="8" s="1"/>
  <c r="P15" i="4"/>
  <c r="Q14" i="4" s="1"/>
  <c r="I23" i="4" s="1"/>
  <c r="I24" i="4" s="1"/>
  <c r="P15" i="3"/>
  <c r="Q14" i="3" s="1"/>
  <c r="I23" i="3" s="1"/>
  <c r="I24" i="3" s="1"/>
  <c r="C48" i="1"/>
  <c r="P12" i="1"/>
  <c r="P11" i="1"/>
  <c r="P10" i="1"/>
  <c r="Q13" i="11" l="1"/>
  <c r="G23" i="11" s="1"/>
  <c r="G24" i="11" s="1"/>
  <c r="Q10" i="12"/>
  <c r="D23" i="12" s="1"/>
  <c r="D24" i="12" s="1"/>
  <c r="E11" i="12" s="1"/>
  <c r="G11" i="12" s="1"/>
  <c r="C24" i="12" s="1"/>
  <c r="L27" i="12" s="1"/>
  <c r="Q11" i="12"/>
  <c r="E23" i="12" s="1"/>
  <c r="E24" i="12" s="1"/>
  <c r="M27" i="12" s="1"/>
  <c r="Q13" i="12"/>
  <c r="G23" i="12" s="1"/>
  <c r="G24" i="12" s="1"/>
  <c r="Q12" i="2"/>
  <c r="F23" i="2" s="1"/>
  <c r="F24" i="2" s="1"/>
  <c r="Q13" i="2"/>
  <c r="G23" i="2" s="1"/>
  <c r="G24" i="2" s="1"/>
  <c r="Q12" i="9"/>
  <c r="F23" i="9" s="1"/>
  <c r="F24" i="9" s="1"/>
  <c r="Q10" i="9"/>
  <c r="D23" i="9" s="1"/>
  <c r="D24" i="9" s="1"/>
  <c r="E11" i="9" s="1"/>
  <c r="G11" i="9" s="1"/>
  <c r="C24" i="9" s="1"/>
  <c r="L27" i="9" s="1"/>
  <c r="Q11" i="9"/>
  <c r="E23" i="9" s="1"/>
  <c r="E24" i="9" s="1"/>
  <c r="M27" i="9" s="1"/>
  <c r="Q11" i="11"/>
  <c r="E23" i="11" s="1"/>
  <c r="E24" i="11" s="1"/>
  <c r="M27" i="11" s="1"/>
  <c r="Q10" i="11"/>
  <c r="D23" i="11" s="1"/>
  <c r="D24" i="11" s="1"/>
  <c r="E11" i="11" s="1"/>
  <c r="G11" i="11" s="1"/>
  <c r="C24" i="11" s="1"/>
  <c r="L27" i="11" s="1"/>
  <c r="Q12" i="11"/>
  <c r="F23" i="11" s="1"/>
  <c r="F24" i="11" s="1"/>
  <c r="Q12" i="12"/>
  <c r="F23" i="12" s="1"/>
  <c r="F24" i="12" s="1"/>
  <c r="Q13" i="10"/>
  <c r="G23" i="10" s="1"/>
  <c r="G24" i="10" s="1"/>
  <c r="Q12" i="7"/>
  <c r="F23" i="7" s="1"/>
  <c r="F24" i="7" s="1"/>
  <c r="Q10" i="3"/>
  <c r="D23" i="3" s="1"/>
  <c r="D24" i="3" s="1"/>
  <c r="E11" i="3" s="1"/>
  <c r="G11" i="3" s="1"/>
  <c r="C24" i="3" s="1"/>
  <c r="L27" i="3" s="1"/>
  <c r="Q11" i="2"/>
  <c r="E23" i="2" s="1"/>
  <c r="E24" i="2" s="1"/>
  <c r="M27" i="2" s="1"/>
  <c r="Q12" i="3"/>
  <c r="F23" i="3" s="1"/>
  <c r="F24" i="3" s="1"/>
  <c r="Q10" i="2"/>
  <c r="Q13" i="3"/>
  <c r="G23" i="3" s="1"/>
  <c r="G24" i="3" s="1"/>
  <c r="Q10" i="5"/>
  <c r="D23" i="5" s="1"/>
  <c r="D24" i="5" s="1"/>
  <c r="E11" i="5" s="1"/>
  <c r="G11" i="5" s="1"/>
  <c r="C24" i="5" s="1"/>
  <c r="L27" i="5" s="1"/>
  <c r="Q13" i="9"/>
  <c r="G23" i="9" s="1"/>
  <c r="G24" i="9" s="1"/>
  <c r="Q10" i="10"/>
  <c r="D23" i="10" s="1"/>
  <c r="D24" i="10" s="1"/>
  <c r="E11" i="10" s="1"/>
  <c r="G11" i="10" s="1"/>
  <c r="C24" i="10" s="1"/>
  <c r="L27" i="10" s="1"/>
  <c r="Q13" i="7"/>
  <c r="G23" i="7" s="1"/>
  <c r="G24" i="7" s="1"/>
  <c r="Q11" i="5"/>
  <c r="E23" i="5" s="1"/>
  <c r="E24" i="5" s="1"/>
  <c r="M27" i="5" s="1"/>
  <c r="Q12" i="10"/>
  <c r="F23" i="10" s="1"/>
  <c r="F24" i="10" s="1"/>
  <c r="Q10" i="7"/>
  <c r="D23" i="7" s="1"/>
  <c r="D24" i="7" s="1"/>
  <c r="E11" i="7" s="1"/>
  <c r="G11" i="7" s="1"/>
  <c r="C24" i="7" s="1"/>
  <c r="L27" i="7" s="1"/>
  <c r="Q11" i="10"/>
  <c r="E23" i="10" s="1"/>
  <c r="E24" i="10" s="1"/>
  <c r="M27" i="10" s="1"/>
  <c r="Q11" i="7"/>
  <c r="E23" i="7" s="1"/>
  <c r="E24" i="7" s="1"/>
  <c r="M27" i="7" s="1"/>
  <c r="Q12" i="5"/>
  <c r="F23" i="5" s="1"/>
  <c r="F24" i="5" s="1"/>
  <c r="Q14" i="5"/>
  <c r="I23" i="5" s="1"/>
  <c r="I24" i="5" s="1"/>
  <c r="Q13" i="6"/>
  <c r="G23" i="6" s="1"/>
  <c r="G24" i="6" s="1"/>
  <c r="Q12" i="6"/>
  <c r="F23" i="6" s="1"/>
  <c r="F24" i="6" s="1"/>
  <c r="Q10" i="6"/>
  <c r="D23" i="6" s="1"/>
  <c r="D24" i="6" s="1"/>
  <c r="E11" i="6" s="1"/>
  <c r="G11" i="6" s="1"/>
  <c r="C24" i="6" s="1"/>
  <c r="L27" i="6" s="1"/>
  <c r="Q11" i="6"/>
  <c r="E23" i="6" s="1"/>
  <c r="E24" i="6" s="1"/>
  <c r="M27" i="6" s="1"/>
  <c r="Q13" i="4"/>
  <c r="G23" i="4" s="1"/>
  <c r="G24" i="4" s="1"/>
  <c r="Q12" i="4"/>
  <c r="F23" i="4" s="1"/>
  <c r="F24" i="4" s="1"/>
  <c r="Q12" i="8"/>
  <c r="F23" i="8" s="1"/>
  <c r="F24" i="8" s="1"/>
  <c r="Q11" i="8"/>
  <c r="E23" i="8" s="1"/>
  <c r="E24" i="8" s="1"/>
  <c r="M27" i="8" s="1"/>
  <c r="Q13" i="8"/>
  <c r="G23" i="8" s="1"/>
  <c r="G24" i="8" s="1"/>
  <c r="Q10" i="8"/>
  <c r="Q11" i="4"/>
  <c r="E23" i="4" s="1"/>
  <c r="E24" i="4" s="1"/>
  <c r="M27" i="4" s="1"/>
  <c r="Q10" i="4"/>
  <c r="Q11" i="3"/>
  <c r="E23" i="3" s="1"/>
  <c r="E24" i="3" s="1"/>
  <c r="M27" i="3" s="1"/>
  <c r="P15" i="1"/>
  <c r="Q14" i="1" s="1"/>
  <c r="I23" i="1" s="1"/>
  <c r="I24" i="1" s="1"/>
  <c r="Q15" i="12" l="1"/>
  <c r="Q15" i="11"/>
  <c r="Q15" i="9"/>
  <c r="Q15" i="6"/>
  <c r="D23" i="2"/>
  <c r="D24" i="2" s="1"/>
  <c r="E11" i="2" s="1"/>
  <c r="G11" i="2" s="1"/>
  <c r="C24" i="2" s="1"/>
  <c r="L27" i="2" s="1"/>
  <c r="Q15" i="2"/>
  <c r="Q15" i="10"/>
  <c r="Q15" i="5"/>
  <c r="Q15" i="7"/>
  <c r="D23" i="8"/>
  <c r="D24" i="8" s="1"/>
  <c r="E11" i="8" s="1"/>
  <c r="G11" i="8" s="1"/>
  <c r="C24" i="8" s="1"/>
  <c r="L27" i="8" s="1"/>
  <c r="Q15" i="8"/>
  <c r="D23" i="4"/>
  <c r="D24" i="4" s="1"/>
  <c r="E11" i="4" s="1"/>
  <c r="G11" i="4" s="1"/>
  <c r="C24" i="4" s="1"/>
  <c r="L27" i="4" s="1"/>
  <c r="Q15" i="4"/>
  <c r="Q15" i="3"/>
  <c r="Q13" i="1"/>
  <c r="G23" i="1" s="1"/>
  <c r="G24" i="1" s="1"/>
  <c r="Q12" i="1"/>
  <c r="F23" i="1" s="1"/>
  <c r="F24" i="1" s="1"/>
  <c r="Q11" i="1"/>
  <c r="E23" i="1" s="1"/>
  <c r="E24" i="1" s="1"/>
  <c r="M27" i="1" s="1"/>
  <c r="Q10" i="1"/>
  <c r="D23" i="1" s="1"/>
  <c r="D24" i="1" s="1"/>
  <c r="E11" i="1" s="1"/>
  <c r="G11" i="1" s="1"/>
  <c r="C24" i="1" s="1"/>
  <c r="L27" i="1" s="1"/>
  <c r="Q1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0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000-000002000000}">
      <text>
        <r>
          <rPr>
            <b/>
            <u/>
            <sz val="9"/>
            <color indexed="81"/>
            <rFont val="돋움"/>
            <family val="3"/>
            <charset val="129"/>
          </rPr>
          <t xml:space="preserve">월별로 일수 수정필요
2021년 1월의 경우 1일, 2월의 경우 2일
</t>
        </r>
      </text>
    </comment>
    <comment ref="G18" authorId="2" shapeId="0" xr:uid="{00000000-0006-0000-00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0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0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000-000006000000}">
      <text>
        <r>
          <rPr>
            <sz val="9"/>
            <color indexed="81"/>
            <rFont val="돋움"/>
            <family val="3"/>
            <charset val="129"/>
          </rPr>
          <t>주휴수당 x 5일 = 기본일당</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1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100-000002000000}">
      <text>
        <r>
          <rPr>
            <b/>
            <u/>
            <sz val="9"/>
            <color indexed="81"/>
            <rFont val="돋움"/>
            <family val="3"/>
            <charset val="129"/>
          </rPr>
          <t xml:space="preserve">월별로 일수 수정필요
2021년 1월의 경우 1일, 2월의 경우 2일
</t>
        </r>
      </text>
    </comment>
    <comment ref="G18" authorId="2" shapeId="0" xr:uid="{00000000-0006-0000-01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1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1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100-000006000000}">
      <text>
        <r>
          <rPr>
            <sz val="9"/>
            <color indexed="81"/>
            <rFont val="돋움"/>
            <family val="3"/>
            <charset val="129"/>
          </rPr>
          <t>주휴수당 x 5일 = 기본일당</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2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200-000002000000}">
      <text>
        <r>
          <rPr>
            <b/>
            <u/>
            <sz val="9"/>
            <color indexed="81"/>
            <rFont val="돋움"/>
            <family val="3"/>
            <charset val="129"/>
          </rPr>
          <t xml:space="preserve">월별로 일수 수정필요
2021년 1월의 경우 1일, 2월의 경우 2일
</t>
        </r>
      </text>
    </comment>
    <comment ref="G18" authorId="2" shapeId="0" xr:uid="{00000000-0006-0000-02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2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2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200-000006000000}">
      <text>
        <r>
          <rPr>
            <sz val="9"/>
            <color indexed="81"/>
            <rFont val="돋움"/>
            <family val="3"/>
            <charset val="129"/>
          </rPr>
          <t>주휴수당 x 5일 = 기본일당</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3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300-000002000000}">
      <text>
        <r>
          <rPr>
            <b/>
            <u/>
            <sz val="9"/>
            <color indexed="81"/>
            <rFont val="돋움"/>
            <family val="3"/>
            <charset val="129"/>
          </rPr>
          <t xml:space="preserve">월별로 일수 수정필요
2021년 1월의 경우 1일, 2월의 경우 2일
</t>
        </r>
      </text>
    </comment>
    <comment ref="G18" authorId="2" shapeId="0" xr:uid="{00000000-0006-0000-03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3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3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300-000006000000}">
      <text>
        <r>
          <rPr>
            <sz val="9"/>
            <color indexed="81"/>
            <rFont val="돋움"/>
            <family val="3"/>
            <charset val="129"/>
          </rPr>
          <t>주휴수당 x 5일 = 기본일당</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4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400-000002000000}">
      <text>
        <r>
          <rPr>
            <b/>
            <u/>
            <sz val="9"/>
            <color indexed="81"/>
            <rFont val="돋움"/>
            <family val="3"/>
            <charset val="129"/>
          </rPr>
          <t xml:space="preserve">월별로 일수 수정필요
2021년 1월의 경우 1일, 2월의 경우 2일
</t>
        </r>
      </text>
    </comment>
    <comment ref="G18" authorId="2" shapeId="0" xr:uid="{00000000-0006-0000-04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4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4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400-000006000000}">
      <text>
        <r>
          <rPr>
            <sz val="9"/>
            <color indexed="81"/>
            <rFont val="돋움"/>
            <family val="3"/>
            <charset val="129"/>
          </rPr>
          <t>주휴수당 x 5일 = 기본일당</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5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500-000002000000}">
      <text>
        <r>
          <rPr>
            <b/>
            <u/>
            <sz val="9"/>
            <color indexed="81"/>
            <rFont val="돋움"/>
            <family val="3"/>
            <charset val="129"/>
          </rPr>
          <t xml:space="preserve">월별로 일수 수정필요
2021년 1월의 경우 1일, 2월의 경우 2일
</t>
        </r>
      </text>
    </comment>
    <comment ref="G18" authorId="2" shapeId="0" xr:uid="{00000000-0006-0000-05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5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5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500-000006000000}">
      <text>
        <r>
          <rPr>
            <sz val="9"/>
            <color indexed="81"/>
            <rFont val="돋움"/>
            <family val="3"/>
            <charset val="129"/>
          </rPr>
          <t>주휴수당 x 5일 = 기본일당</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6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600-000002000000}">
      <text>
        <r>
          <rPr>
            <b/>
            <u/>
            <sz val="9"/>
            <color indexed="81"/>
            <rFont val="돋움"/>
            <family val="3"/>
            <charset val="129"/>
          </rPr>
          <t xml:space="preserve">월별로 일수 수정필요
2021년 1월의 경우 1일, 2월의 경우 2일
</t>
        </r>
      </text>
    </comment>
    <comment ref="G18" authorId="2" shapeId="0" xr:uid="{00000000-0006-0000-06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6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6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600-000006000000}">
      <text>
        <r>
          <rPr>
            <sz val="9"/>
            <color indexed="81"/>
            <rFont val="돋움"/>
            <family val="3"/>
            <charset val="129"/>
          </rPr>
          <t>주휴수당 x 5일 = 기본일당</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7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700-000002000000}">
      <text>
        <r>
          <rPr>
            <b/>
            <u/>
            <sz val="9"/>
            <color indexed="81"/>
            <rFont val="돋움"/>
            <family val="3"/>
            <charset val="129"/>
          </rPr>
          <t xml:space="preserve">월별로 일수 수정필요
2021년 1월의 경우 1일, 2월의 경우 2일
</t>
        </r>
      </text>
    </comment>
    <comment ref="G18" authorId="2" shapeId="0" xr:uid="{00000000-0006-0000-07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7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7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700-000006000000}">
      <text>
        <r>
          <rPr>
            <sz val="9"/>
            <color indexed="81"/>
            <rFont val="돋움"/>
            <family val="3"/>
            <charset val="129"/>
          </rPr>
          <t>주휴수당 x 5일 = 기본일당</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8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800-000002000000}">
      <text>
        <r>
          <rPr>
            <b/>
            <u/>
            <sz val="9"/>
            <color indexed="81"/>
            <rFont val="돋움"/>
            <family val="3"/>
            <charset val="129"/>
          </rPr>
          <t xml:space="preserve">월별로 일수 수정필요
2021년 1월의 경우 1일, 2월의 경우 2일
</t>
        </r>
      </text>
    </comment>
    <comment ref="G18" authorId="2" shapeId="0" xr:uid="{00000000-0006-0000-08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8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8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800-000006000000}">
      <text>
        <r>
          <rPr>
            <sz val="9"/>
            <color indexed="81"/>
            <rFont val="돋움"/>
            <family val="3"/>
            <charset val="129"/>
          </rPr>
          <t>주휴수당 x 5일 = 기본일당</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9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900-000002000000}">
      <text>
        <r>
          <rPr>
            <b/>
            <u/>
            <sz val="9"/>
            <color indexed="81"/>
            <rFont val="돋움"/>
            <family val="3"/>
            <charset val="129"/>
          </rPr>
          <t xml:space="preserve">월별로 일수 수정필요
2021년 1월의 경우 1일, 2월의 경우 2일
</t>
        </r>
      </text>
    </comment>
    <comment ref="G18" authorId="2" shapeId="0" xr:uid="{00000000-0006-0000-09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9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9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900-000006000000}">
      <text>
        <r>
          <rPr>
            <sz val="9"/>
            <color indexed="81"/>
            <rFont val="돋움"/>
            <family val="3"/>
            <charset val="129"/>
          </rPr>
          <t>주휴수당 x 5일 = 기본일당</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A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A00-000002000000}">
      <text>
        <r>
          <rPr>
            <b/>
            <u/>
            <sz val="9"/>
            <color indexed="81"/>
            <rFont val="돋움"/>
            <family val="3"/>
            <charset val="129"/>
          </rPr>
          <t xml:space="preserve">월별로 일수 수정필요
2021년 1월의 경우 1일, 2월의 경우 2일
</t>
        </r>
      </text>
    </comment>
    <comment ref="G18" authorId="2" shapeId="0" xr:uid="{00000000-0006-0000-0A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A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A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A00-000006000000}">
      <text>
        <r>
          <rPr>
            <sz val="9"/>
            <color indexed="81"/>
            <rFont val="돋움"/>
            <family val="3"/>
            <charset val="129"/>
          </rPr>
          <t>주휴수당 x 5일 = 기본일당</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B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B00-000002000000}">
      <text>
        <r>
          <rPr>
            <b/>
            <u/>
            <sz val="9"/>
            <color indexed="81"/>
            <rFont val="돋움"/>
            <family val="3"/>
            <charset val="129"/>
          </rPr>
          <t xml:space="preserve">월별로 일수 수정필요
2021년 1월의 경우 1일, 2월의 경우 2일
</t>
        </r>
      </text>
    </comment>
    <comment ref="G18" authorId="2" shapeId="0" xr:uid="{00000000-0006-0000-0B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B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B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B00-000006000000}">
      <text>
        <r>
          <rPr>
            <sz val="9"/>
            <color indexed="81"/>
            <rFont val="돋움"/>
            <family val="3"/>
            <charset val="129"/>
          </rPr>
          <t>주휴수당 x 5일 = 기본일당</t>
        </r>
      </text>
    </comment>
  </commentList>
</comments>
</file>

<file path=xl/sharedStrings.xml><?xml version="1.0" encoding="utf-8"?>
<sst xmlns="http://schemas.openxmlformats.org/spreadsheetml/2006/main" count="1248" uniqueCount="204">
  <si>
    <t>근로계약서 작성을 위한 기초 입력사항</t>
    <phoneticPr fontId="7" type="noConversion"/>
  </si>
  <si>
    <t>근 로 계 약 서</t>
    <phoneticPr fontId="4" type="noConversion"/>
  </si>
  <si>
    <t xml:space="preserve"> </t>
    <phoneticPr fontId="7" type="noConversion"/>
  </si>
  <si>
    <t xml:space="preserve"> (이하 "갑"이라 한다)과 </t>
    <phoneticPr fontId="4" type="noConversion"/>
  </si>
  <si>
    <t xml:space="preserve">                       </t>
    <phoneticPr fontId="4" type="noConversion"/>
  </si>
  <si>
    <t>(이하 ‘을’이라 한다)은  아래와  같이  근로조건을  정하고</t>
    <phoneticPr fontId="4" type="noConversion"/>
  </si>
  <si>
    <t xml:space="preserve">     이를 성실히 이행할 것을 약정한다.</t>
    <phoneticPr fontId="4" type="noConversion"/>
  </si>
  <si>
    <t>근로장소</t>
    <phoneticPr fontId="4" type="noConversion"/>
  </si>
  <si>
    <t>직  종</t>
    <phoneticPr fontId="4" type="noConversion"/>
  </si>
  <si>
    <t>일당</t>
    <phoneticPr fontId="7" type="noConversion"/>
  </si>
  <si>
    <t>근로시간</t>
    <phoneticPr fontId="7" type="noConversion"/>
  </si>
  <si>
    <t>근무일/주</t>
    <phoneticPr fontId="7" type="noConversion"/>
  </si>
  <si>
    <t>팀단위
공사구간</t>
    <phoneticPr fontId="4" type="noConversion"/>
  </si>
  <si>
    <t>팀장명</t>
    <phoneticPr fontId="4" type="noConversion"/>
  </si>
  <si>
    <t xml:space="preserve"> </t>
    <phoneticPr fontId="4" type="noConversion"/>
  </si>
  <si>
    <t>계약기간</t>
    <phoneticPr fontId="4" type="noConversion"/>
  </si>
  <si>
    <t>해당월 말일</t>
    <phoneticPr fontId="7" type="noConversion"/>
  </si>
  <si>
    <t>로 한다. 근로계약만료시 근로관계는 자동종료된다</t>
    <phoneticPr fontId="4" type="noConversion"/>
  </si>
  <si>
    <t>구분</t>
    <phoneticPr fontId="4" type="noConversion"/>
  </si>
  <si>
    <t>시간/1주</t>
    <phoneticPr fontId="4" type="noConversion"/>
  </si>
  <si>
    <t>환산비율</t>
    <phoneticPr fontId="4" type="noConversion"/>
  </si>
  <si>
    <t>4.34주</t>
    <phoneticPr fontId="4" type="noConversion"/>
  </si>
  <si>
    <t>월환산시간</t>
    <phoneticPr fontId="4" type="noConversion"/>
  </si>
  <si>
    <t>비중</t>
    <phoneticPr fontId="4" type="noConversion"/>
  </si>
  <si>
    <t>기본일당</t>
    <phoneticPr fontId="4" type="noConversion"/>
  </si>
  <si>
    <t>임    금</t>
    <phoneticPr fontId="4" type="noConversion"/>
  </si>
  <si>
    <t xml:space="preserve"> 1.  "을"의 임금은  1일 8시간 기본일급  (</t>
    <phoneticPr fontId="4" type="noConversion"/>
  </si>
  <si>
    <t>)원,   시간급(</t>
    <phoneticPr fontId="4" type="noConversion"/>
  </si>
  <si>
    <t xml:space="preserve">  )원 으로 하고,법정수당은 다음과 </t>
    <phoneticPr fontId="7" type="noConversion"/>
  </si>
  <si>
    <t>주휴수당</t>
    <phoneticPr fontId="4" type="noConversion"/>
  </si>
  <si>
    <r>
      <t xml:space="preserve">      같이 산정 지급 한다. 단, 태업시에는 태업율만큼 임금이 삭감되며, 근무지이탈, 무단출근시, 우천등 천재지변으로 작업을 못한 경우 해당임금은 지급되지 아니한다   ① 연장근로수당 : 시간급×연장근로시간×150%    ② 휴일가산수당 : 시간급×휴일근로시간×50%   ③ 야간근로수당 : 시간급×야간근로시간(22:00-06:00) × 50%  ④ 유급주휴수당 : 전 주간(월~금)만근한 경우 시간급×8h   ⑤ 연차휴가수당 : 1개월(1~말일)간 만근 후,  연차휴가 미사용시 시간급× 8h  ⑤ 국공휴일수당 : 시간급 x 8h</t>
    </r>
    <r>
      <rPr>
        <sz val="10"/>
        <color indexed="30"/>
        <rFont val="굴림"/>
        <family val="3"/>
        <charset val="129"/>
      </rPr>
      <t/>
    </r>
    <phoneticPr fontId="4" type="noConversion"/>
  </si>
  <si>
    <t>국공휴일</t>
    <phoneticPr fontId="4" type="noConversion"/>
  </si>
  <si>
    <t>토일할증</t>
    <phoneticPr fontId="4" type="noConversion"/>
  </si>
  <si>
    <t>연차수당</t>
    <phoneticPr fontId="4" type="noConversion"/>
  </si>
  <si>
    <t>합계</t>
    <phoneticPr fontId="4" type="noConversion"/>
  </si>
  <si>
    <t xml:space="preserve"> 3. 회사는 지정된 시간, 장소에서  "을"에게 식사를 제공한다.  4. 소정근로시간 내 성과목표를 달성한 경우에는 추가공수를 지급할 수 있다.</t>
    <phoneticPr fontId="4" type="noConversion"/>
  </si>
  <si>
    <t xml:space="preserve"> 5.“을”의 임금은 위“1항”에 기본일급에 위1항 ①호~⑤호 법정수당이 포함된     일급 ( </t>
    <phoneticPr fontId="4" type="noConversion"/>
  </si>
  <si>
    <t xml:space="preserve">)에 출역공수 ( 월~토 8시간  1공수,  </t>
    <phoneticPr fontId="4" type="noConversion"/>
  </si>
  <si>
    <r>
      <t xml:space="preserve">    연장 2.5시간 0.5공수)로 산정. 포괄일당 및  임금정책 변경시 시간급으로 산정하는데에 동의한다 </t>
    </r>
    <r>
      <rPr>
        <b/>
        <u/>
        <sz val="10"/>
        <color indexed="30"/>
        <rFont val="굴림"/>
        <family val="3"/>
        <charset val="129"/>
      </rPr>
      <t xml:space="preserve">:  </t>
    </r>
    <r>
      <rPr>
        <b/>
        <u/>
        <sz val="10"/>
        <color indexed="10"/>
        <rFont val="굴림"/>
        <family val="3"/>
        <charset val="129"/>
      </rPr>
      <t xml:space="preserve">동의자                           (인)  </t>
    </r>
    <r>
      <rPr>
        <sz val="10"/>
        <rFont val="굴림"/>
        <family val="3"/>
        <charset val="129"/>
      </rPr>
      <t/>
    </r>
    <phoneticPr fontId="4" type="noConversion"/>
  </si>
  <si>
    <t xml:space="preserve">* 본 근로계약서는 열린노무법인에서 작성하여 배포하는 것으로서 </t>
    <phoneticPr fontId="4" type="noConversion"/>
  </si>
  <si>
    <t>임 금
구성내역</t>
    <phoneticPr fontId="4" type="noConversion"/>
  </si>
  <si>
    <t>일급 산정내역</t>
    <phoneticPr fontId="4" type="noConversion"/>
  </si>
  <si>
    <t>유급주휴</t>
    <phoneticPr fontId="4" type="noConversion"/>
  </si>
  <si>
    <t>토.휴일할증</t>
    <phoneticPr fontId="4" type="noConversion"/>
  </si>
  <si>
    <t xml:space="preserve">  저작권에 등록되어 있으므로 회사에서 사용할 수는 있으나 상업목적으로 </t>
    <phoneticPr fontId="4" type="noConversion"/>
  </si>
  <si>
    <t>산정기준</t>
    <phoneticPr fontId="4" type="noConversion"/>
  </si>
  <si>
    <t xml:space="preserve">  배포할 경우 법적문제가 발생될 수 있습니다 </t>
    <phoneticPr fontId="4" type="noConversion"/>
  </si>
  <si>
    <t>시간급</t>
    <phoneticPr fontId="4" type="noConversion"/>
  </si>
  <si>
    <t xml:space="preserve">  회사의 실정이 맞도록 조정하여 사용하시기 바랍니다. </t>
    <phoneticPr fontId="4" type="noConversion"/>
  </si>
  <si>
    <t>근로시간
휴게시간</t>
    <phoneticPr fontId="4" type="noConversion"/>
  </si>
  <si>
    <t xml:space="preserve">휴일 </t>
    <phoneticPr fontId="4" type="noConversion"/>
  </si>
  <si>
    <t>연차휴가</t>
    <phoneticPr fontId="4" type="noConversion"/>
  </si>
  <si>
    <t xml:space="preserve"> &lt;건설일용근로자 포괄임금 업무처`리 지침&gt;
  일정기간 이상 사용이 예정되어 있는 일당제 일용근로자 : 예정되어 있는 근로기간 동안 
  근로할 경우 지급요건을 충족하는 수당(주휴수당, 연장.야간근로수당, 휴일근로수당)은 
  포함가능하나 그렇지 않은 수당은 포함 불가/다만, 연차유급휴가수당은 이를 포괄임금에 
  포함  할 경우 휴가권을 박탈의 문제가 있으므로 포함할 수 없음.&lt;근로개선정책과, ‘11.8.8&gt;</t>
    <phoneticPr fontId="4" type="noConversion"/>
  </si>
  <si>
    <t xml:space="preserve">근로계약    
해지사유
  </t>
    <phoneticPr fontId="4" type="noConversion"/>
  </si>
  <si>
    <t>기타근로
조   건</t>
    <phoneticPr fontId="4" type="noConversion"/>
  </si>
  <si>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sz val="10"/>
        <color indexed="10"/>
        <rFont val="굴림"/>
        <family val="3"/>
        <charset val="129"/>
      </rPr>
      <t xml:space="preserve">            개</t>
    </r>
    <r>
      <rPr>
        <u/>
        <sz val="10"/>
        <color indexed="10"/>
        <rFont val="굴림"/>
        <family val="3"/>
        <charset val="129"/>
      </rPr>
      <t xml:space="preserve">인정보제공 동의자  성명 :                                 (인) 
</t>
    </r>
    <r>
      <rPr>
        <sz val="10"/>
        <color indexed="18"/>
        <rFont val="굴림"/>
        <family val="3"/>
        <charset val="129"/>
      </rPr>
      <t xml:space="preserve">5. "을"은 "갑"의 타 현장에서 자발적사직/계약기간 만료 되었음을 확인하며  본 계약 이후 근로관계가 새로이 시작되는 것에 이의없이 
    동의합니다 (* 현장 최초출역일에만 작성)                                       </t>
    </r>
    <r>
      <rPr>
        <sz val="10"/>
        <color indexed="10"/>
        <rFont val="굴림"/>
        <family val="3"/>
        <charset val="129"/>
      </rPr>
      <t xml:space="preserve">동의자 성명 : </t>
    </r>
    <r>
      <rPr>
        <b/>
        <u/>
        <sz val="10"/>
        <color indexed="10"/>
        <rFont val="굴림"/>
        <family val="3"/>
        <charset val="129"/>
      </rPr>
      <t xml:space="preserve">                                     (인)</t>
    </r>
    <phoneticPr fontId="4" type="noConversion"/>
  </si>
  <si>
    <t>교부등 확인</t>
    <phoneticPr fontId="4" type="noConversion"/>
  </si>
  <si>
    <r>
      <t xml:space="preserve"> 상기 근로조건을 확인하였으며, 그외 사항은 현장 취업규칙에 정한바에 따른다.  상기 근로계약서를 정히 교부받았음</t>
    </r>
    <r>
      <rPr>
        <b/>
        <u/>
        <sz val="10"/>
        <color indexed="10"/>
        <rFont val="굴림"/>
        <family val="3"/>
        <charset val="129"/>
      </rPr>
      <t xml:space="preserve">                          (인)</t>
    </r>
    <phoneticPr fontId="4" type="noConversion"/>
  </si>
  <si>
    <t xml:space="preserve">   사  용  자 ("갑")</t>
    <phoneticPr fontId="4" type="noConversion"/>
  </si>
  <si>
    <t xml:space="preserve"> 근  로  자 ("을")</t>
    <phoneticPr fontId="4" type="noConversion"/>
  </si>
  <si>
    <t>회사명/대표이사</t>
    <phoneticPr fontId="4" type="noConversion"/>
  </si>
  <si>
    <t>성      명</t>
    <phoneticPr fontId="4" type="noConversion"/>
  </si>
  <si>
    <t>본사주소</t>
    <phoneticPr fontId="4" type="noConversion"/>
  </si>
  <si>
    <t>주      소</t>
    <phoneticPr fontId="4" type="noConversion"/>
  </si>
  <si>
    <t>현장주소</t>
    <phoneticPr fontId="4" type="noConversion"/>
  </si>
  <si>
    <t>주민등록번호</t>
    <phoneticPr fontId="4" type="noConversion"/>
  </si>
  <si>
    <t>현장대리인(현장소장)</t>
    <phoneticPr fontId="4" type="noConversion"/>
  </si>
  <si>
    <t>핸드폰번호</t>
    <phoneticPr fontId="4" type="noConversion"/>
  </si>
  <si>
    <t>1. “갑은 “을”이 1년간 8할 이상 출근시 연차휴가 15일, 1년 미만인 경우 1월간 만근시 1일의 유급휴가를 준다. 연차수당은 연차휴가사용권을 제한하지 아니하는 범위에서 일당에 포괄역산한다. 2. 전항의 연차휴가는 1일전에 신청하여 승인을 득한후에 사용하여야 하며, "갑"은 휴가시기를 변경할 수 있다.</t>
    <phoneticPr fontId="4" type="noConversion"/>
  </si>
  <si>
    <t xml:space="preserve">  근로계약기간중이라도 "을"이 담당하는 팀단위 공사구간(                               )의 공사가 종료되거나 공종(업무)이 종료된 때 또는 근로계약해지사유에 해당된 때, 발주청 또는 원청의 사정으로 공사가 중단된 때를 계약만료일로 한다. 현장간의 전출입은  엄격히 금지되며 현장이동이 필요한 경우 계약을 해지(사직)하고 신규채용절차를 밟아야 한다.</t>
    <phoneticPr fontId="4" type="noConversion"/>
  </si>
  <si>
    <t xml:space="preserve"> 1. 근로자의 날(5.1) 전주간(월-금)만근한 경우 일요일(주휴일)은 유급휴일로 부여한다. (유급 주휴수당은 일당에 포함하여  지급한다.포괄임금제 폐지시에는 시간급을 기준으로 산정한다),  휴일에 근로할 경우, 근로자의 동의를 얻어 다음주중 특정일을 정하여 휴일로 대체하거나, 토일을 격주로 휴무할 수 있다.    2. 관공서공휴일(30인이상 사업장 2021.1.1부터 적용) 유급수당은 일당에 포괄 지급을 원칙으로 한다. 관공서공휴일이 휴일 또는 휴무일과 중복되는 경우에는 무급으로 한다.</t>
    <phoneticPr fontId="4" type="noConversion"/>
  </si>
  <si>
    <t xml:space="preserve"> 1. 계속하여 5일 이상 결근한 경우(자동면직)
 2. 안전수칙 불이행, 안전조회 불참, 안전장구 미착용(마스크, 턱끈 미착용, 안전고리 미체결 등 포함)
 3. 근무지를 무단이탈(정해진 휴게시간  및 종업시간 이전에 현장을 이탈한 경우)한 경우
 4. 정당한 작업지시 불이행한 경우 또는 기능 및 품질이 현저히 저하된 경우, 과실 등으로 사고나 손실을 야기시킨 경우
 5. 적법하지 않은 집단행동/폭행,파괴, 근로하고자 하는 근로자의 현장 출입을 방해하는 경우
 6. 능률이 미달되어 기성(공사)진행률에 10%이하 미달될 경우 또는 고의적으로 태업한 경우
 7. 폭행, 폭언, 유인물 무단배포, 금연구역에서 흡연, 무단촬영, 출입방해, 타근로자 근로방해 및 근무질서를 문란하게 한 경우
 8. 음주(숙취 포함) 관련, 3회 이상 각 현장 Gate 또는 근로 현장에서 적발될 경우    
 9.  ‘사업주’의 사전 동의 없이 타회사에 취업한 경우(타 회사 취업한 날에 근로계약은 자동해지됨)
10.  불법 체류자, 금지약물 복용자, 기소 중지자(지명 수배), 노동능력상실자 11. "을"의 통장을 팀장등 특정인에게 대여 및 양도하는등 전자 금융거래법을 위반한 경우  12. 해당 팀원의 대다수가 퇴직하여 팀단위 협력 작업이 불가능한 경우 
13. “갑”의 취업규칙 및 안전보건수칙, 회사 제규정에 위배되는 행위를 하였을 때</t>
    <phoneticPr fontId="4" type="noConversion"/>
  </si>
  <si>
    <r>
      <rPr>
        <sz val="10"/>
        <color theme="1"/>
        <rFont val="굴림"/>
        <family val="3"/>
        <charset val="129"/>
      </rPr>
      <t xml:space="preserve">동의한다.  </t>
    </r>
    <r>
      <rPr>
        <b/>
        <sz val="10"/>
        <color rgb="FFFF0000"/>
        <rFont val="굴림"/>
        <family val="3"/>
        <charset val="129"/>
      </rPr>
      <t xml:space="preserve">                                                                                                        </t>
    </r>
    <r>
      <rPr>
        <b/>
        <u/>
        <sz val="10"/>
        <color rgb="FFFF0000"/>
        <rFont val="굴림"/>
        <family val="3"/>
        <charset val="129"/>
      </rPr>
      <t xml:space="preserve">동의자                           (인) </t>
    </r>
    <phoneticPr fontId="3" type="noConversion"/>
  </si>
  <si>
    <t>6."을"의 임금명세서는 문자메세지 및 전자적 방식에 따라 교부받으며, 명세서 교부 전에 퇴사하면 직접 "갑"의 사무실에서 수령하는 것에 대해서</t>
    <phoneticPr fontId="3" type="noConversion"/>
  </si>
  <si>
    <t>㈜강구토건 대표 이진호</t>
    <phoneticPr fontId="4" type="noConversion"/>
  </si>
  <si>
    <t>안전보호구 지급확인</t>
    <phoneticPr fontId="3" type="noConversion"/>
  </si>
  <si>
    <t>1. 안전보호구</t>
    <phoneticPr fontId="3" type="noConversion"/>
  </si>
  <si>
    <t>안전모</t>
    <phoneticPr fontId="3" type="noConversion"/>
  </si>
  <si>
    <t>안전화</t>
    <phoneticPr fontId="3" type="noConversion"/>
  </si>
  <si>
    <t>안전벨트</t>
    <phoneticPr fontId="3" type="noConversion"/>
  </si>
  <si>
    <t>각 반</t>
    <phoneticPr fontId="3" type="noConversion"/>
  </si>
  <si>
    <t>안전교육이수여부</t>
    <phoneticPr fontId="3" type="noConversion"/>
  </si>
  <si>
    <r>
      <t xml:space="preserve"> 2. 임금은 익월</t>
    </r>
    <r>
      <rPr>
        <u/>
        <sz val="10"/>
        <rFont val="굴림"/>
        <family val="3"/>
        <charset val="129"/>
      </rPr>
      <t xml:space="preserve"> </t>
    </r>
    <r>
      <rPr>
        <b/>
        <u/>
        <sz val="10"/>
        <rFont val="굴림"/>
        <family val="3"/>
        <charset val="129"/>
      </rPr>
      <t>15</t>
    </r>
    <r>
      <rPr>
        <u/>
        <sz val="10"/>
        <rFont val="굴림"/>
        <family val="3"/>
        <charset val="129"/>
      </rPr>
      <t xml:space="preserve">  </t>
    </r>
    <r>
      <rPr>
        <sz val="10"/>
        <rFont val="굴림"/>
        <family val="3"/>
        <charset val="129"/>
      </rPr>
      <t>일에 지급하며, 급여지급시 근로소득세 및 고용보험료, 건강보험료, 국민연금등 제세공과금을   원천 징수한 후 "을"명의의 송금계좌로 직접 지급한다.</t>
    </r>
    <r>
      <rPr>
        <b/>
        <sz val="10"/>
        <color indexed="10"/>
        <rFont val="굴림"/>
        <family val="3"/>
        <charset val="129"/>
      </rPr>
      <t xml:space="preserve"> (급여송금 계좌번호 :                     은행 ,                                                           )  </t>
    </r>
    <r>
      <rPr>
        <sz val="10"/>
        <rFont val="굴림"/>
        <family val="3"/>
        <charset val="129"/>
      </rPr>
      <t xml:space="preserve">                  </t>
    </r>
    <phoneticPr fontId="4" type="noConversion"/>
  </si>
  <si>
    <r>
      <t xml:space="preserve">2. 상기 안전보호구 수령확인 및 근로계약/취업규칙 내용을 확인하고 이행함을 동의합니다.        </t>
    </r>
    <r>
      <rPr>
        <b/>
        <sz val="10"/>
        <color rgb="FFFF0000"/>
        <rFont val="굴림"/>
        <family val="3"/>
        <charset val="129"/>
      </rPr>
      <t xml:space="preserve">동의자 성명 :  </t>
    </r>
    <r>
      <rPr>
        <b/>
        <u/>
        <sz val="10"/>
        <color rgb="FFFF0000"/>
        <rFont val="굴림"/>
        <family val="3"/>
        <charset val="129"/>
      </rPr>
      <t xml:space="preserve">                                    </t>
    </r>
    <r>
      <rPr>
        <b/>
        <sz val="10"/>
        <color rgb="FFFF0000"/>
        <rFont val="굴림"/>
        <family val="3"/>
        <charset val="129"/>
      </rPr>
      <t>(인)</t>
    </r>
    <phoneticPr fontId="3" type="noConversion"/>
  </si>
  <si>
    <t>서울시 마포구 희우정로16 ,8층 (합정동,리버아인)</t>
    <phoneticPr fontId="3" type="noConversion"/>
  </si>
  <si>
    <t xml:space="preserve">  '(인)</t>
    <phoneticPr fontId="4" type="noConversion"/>
  </si>
  <si>
    <t>2023년 최저임금</t>
    <phoneticPr fontId="4" type="noConversion"/>
  </si>
  <si>
    <t>(인)</t>
    <phoneticPr fontId="3" type="noConversion"/>
  </si>
  <si>
    <t xml:space="preserve"> 5.“을”의 임금은 위“1항”에 기본일급에 위1항 ①호~⑤호 법정수당이 포함된 일급 ( </t>
    <phoneticPr fontId="4" type="noConversion"/>
  </si>
  <si>
    <t xml:space="preserve">   </t>
    <phoneticPr fontId="3" type="noConversion"/>
  </si>
  <si>
    <t>안양현장</t>
    <phoneticPr fontId="3" type="noConversion"/>
  </si>
  <si>
    <t>안양시 동안구 관양동 521번지</t>
    <phoneticPr fontId="3" type="noConversion"/>
  </si>
  <si>
    <t>경기도 남양주시 진접읍 연평리 734-1</t>
    <phoneticPr fontId="3" type="noConversion"/>
  </si>
  <si>
    <t>남양주현장</t>
    <phoneticPr fontId="3" type="noConversion"/>
  </si>
  <si>
    <t xml:space="preserve"> 1. 계속하여 5일 이상 결근한 경우(자동면직)
 2. 안전수칙 불이행, 안전조회 불참, 안전장구 미착용(마스크, 턱끈 미착용, 안전고리 미체결 등 포함)
 3. 근무지를 무단이탈(정해진 휴게시간  및 종업시간 이전에 현장을 이탈한 경우)한 경우
 4. 정당한 작업지시 불이행한 경우 또는 기능 및 품질이 현저히 저하된 경우, 과실 등으로 사고나 손실을 야기시킨 경우
 5. 적법하지 않은 집단행동/폭행,파괴, 근로하고자 하는 근로자의 현장 출입을 방해하는 경우
 6. 능률이 미달되어 기성(공사)진행률에 10%이하 미달될 경우 또는 고의적으로 태업한 경우
 7. 폭행, 폭언, 유인물 무단배포, 금연구역에서 흡연, 무단촬영, 출입방해, 타근로자 근로방해 및 근무질서를 문란하게 한 경우
 8. 음주(숙취 포함) 관련, 3회 이상 각 현장 Gate 또는 근로 현장에서 적발될 경우   
 9.  ‘사업주’의 사전 동의 없이 타회사에 취업한 경우(타 회사 취업한 날에 근로계약은 자동해지됨)
10.  불법 체류자, 금지약물 복용자, 기소 중지자(지명 수배), 노동능력상실자 
11. "을"의 통장을 팀장등 특정인에게 대여 및 양도하는등 전자 금융거래법을 위반한 경우  
12. 해당 팀원의 대다수가 퇴직하여 팀단위 협력 작업이 불가능한 경우 
13. “갑”의 취업규칙 및 안전보건수칙, 회사 제규정에 위배되는 행위를 하였을 때</t>
    <phoneticPr fontId="4" type="noConversion"/>
  </si>
  <si>
    <t xml:space="preserve"> 1. 계속하여 5일 이상 결근한 경우(자동면직)
 2. 안전수칙 불이행, 안전조회 불참, 안전장구 미착용(마스크, 턱끈 미착용, 안전고리 미체결 등 포함)
 3. 근무지를 무단이탈(정해진 휴게시간  및 종업시간 이전에 현장을 이탈한 경우)한 경우
 4. 정당한 작업지시 불이행한 경우 또는 기능 및 품질이 현저히 저하된 경우, 과실 등으로 사고나 손실을 야기시킨 경우
 5. 적법하지 않은 집단행동/폭행,파괴, 근로하고자 하는 근로자의 현장 출입을 방해하는 경우
 6. 능률이 미달되어 기성(공사)진행률에 10%이하 미달될 경우 또는 고의적으로 태업한 경우
 7. 폭행, 폭언, 유인물 무단배포, 금연구역에서 흡연, 무단촬영, 출입방해, 타근로자 근로방해 및 근무질서를 문란하게 한 경우
 8. 음주(숙취 포함) 관련, 3회 이상 각 현장 Gate 또는 근로 현장에서 적발될 경우    
 9.  ‘사업주’의 사전 동의 없이 타회사에 취업한 경우(타 회사 취업한 날에 근로계약은 자동해지됨)
10.  불법 체류자, 금지약물 복용자, 기소 중지자(지명 수배), 노동능력상실자 
11. "을"의 통장을 팀장등 특정인에게 대여 및 양도하는등 전자 금융거래법을 위반한 경우  
12. 해당 팀원의 대다수가 퇴직하여 팀단위 협력 작업이 불가능한 경우 
13. “갑”의 취업규칙 및 안전보건수칙, 회사 제규정에 위배되는 행위를 하였을 때</t>
    <phoneticPr fontId="4" type="noConversion"/>
  </si>
  <si>
    <t xml:space="preserve"> 1. 근로자의 날(5.1) 전주간(월-금)만근한 경우 일요일(주휴일)은 유급휴일로 부여한다. (유급 주휴수당은 일당에 포함하여  지급한다.포괄임금제 폐지시에는 시간급을 기준으로 산정한다),  휴일에 근로할 경우, 근로자의 동의를 얻어 다음주중 특정일을 정하여 휴일로 대체하거나, 토일을 격주로 휴무할 수 있다.    
2. 관공서공휴일(30인이상 사업장 2021.1.1부터 적용) 유급수당은 일당에 포괄 지급을 원칙으로 한다. 관공서공휴일이 휴일 또는 휴무일과 중복되는 경우에는 무급으로 한다.</t>
    <phoneticPr fontId="4" type="noConversion"/>
  </si>
  <si>
    <t xml:space="preserve"> 5.“을”의 임금은 위“1항”에 기본일급에 위1항 ①호~⑤호 법정수당이 포함된  일급 ( </t>
    <phoneticPr fontId="4" type="noConversion"/>
  </si>
  <si>
    <t>1. “갑은 “을”이 1년간 8할 이상 출근시 연차휴가 15일, 1년 미만인 경우 1월간 만근시 1일의 유급휴가를 준다. 연차수당은 연차휴가사용권을 제한하지 아니하는 범위에서 일당에 포괄역산한다. 
2. 전항의 연차휴가는 1일전에 신청하여 승인을 득한후에 사용하여야 하며, "갑"은 휴가시기를 변경할 수 있다.</t>
    <phoneticPr fontId="4" type="noConversion"/>
  </si>
  <si>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sz val="10"/>
        <color indexed="10"/>
        <rFont val="굴림"/>
        <family val="3"/>
        <charset val="129"/>
      </rPr>
      <t>동의자 성명 :                         (인)</t>
    </r>
    <phoneticPr fontId="4" type="noConversion"/>
  </si>
  <si>
    <r>
      <rPr>
        <sz val="10"/>
        <color theme="1"/>
        <rFont val="굴림"/>
        <family val="3"/>
        <charset val="129"/>
      </rPr>
      <t xml:space="preserve">동의한다.  </t>
    </r>
    <r>
      <rPr>
        <b/>
        <sz val="10"/>
        <color rgb="FFFF0000"/>
        <rFont val="굴림"/>
        <family val="3"/>
        <charset val="129"/>
      </rPr>
      <t xml:space="preserve">                                                                                                        </t>
    </r>
    <r>
      <rPr>
        <b/>
        <u/>
        <sz val="10"/>
        <color rgb="FFFF0000"/>
        <rFont val="굴림"/>
        <family val="3"/>
        <charset val="129"/>
      </rPr>
      <t xml:space="preserve">동의자            </t>
    </r>
    <r>
      <rPr>
        <b/>
        <u/>
        <sz val="10"/>
        <rFont val="굴림"/>
        <family val="3"/>
        <charset val="129"/>
      </rPr>
      <t xml:space="preserve"> </t>
    </r>
    <r>
      <rPr>
        <b/>
        <u/>
        <sz val="10"/>
        <color rgb="FFFF0000"/>
        <rFont val="굴림"/>
        <family val="3"/>
        <charset val="129"/>
      </rPr>
      <t xml:space="preserve">              (인) </t>
    </r>
    <phoneticPr fontId="3" type="noConversion"/>
  </si>
  <si>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sz val="10"/>
        <color indexed="10"/>
        <rFont val="굴림"/>
        <family val="3"/>
        <charset val="129"/>
      </rPr>
      <t>동의자 성명 :                       (인)</t>
    </r>
    <phoneticPr fontId="4" type="noConversion"/>
  </si>
  <si>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sz val="10"/>
        <color indexed="10"/>
        <rFont val="굴림"/>
        <family val="3"/>
        <charset val="129"/>
      </rPr>
      <t xml:space="preserve">            개</t>
    </r>
    <r>
      <rPr>
        <u/>
        <sz val="10"/>
        <color indexed="10"/>
        <rFont val="굴림"/>
        <family val="3"/>
        <charset val="129"/>
      </rPr>
      <t xml:space="preserve">인정보제공 동의자  성명 :                                 (인) 
</t>
    </r>
    <r>
      <rPr>
        <sz val="10"/>
        <color indexed="18"/>
        <rFont val="굴림"/>
        <family val="3"/>
        <charset val="129"/>
      </rPr>
      <t xml:space="preserve">5. "을"은 "갑"의 타 현장에서 자발적사직/계약기간 만료 되었음을 확인하며  본 계약 이후 근로관계가 새로이 시작되는 것에 이의없이 
    동의합니다 (* 현장 최초출역일에만 작성)                                       </t>
    </r>
    <r>
      <rPr>
        <sz val="10"/>
        <color indexed="10"/>
        <rFont val="굴림"/>
        <family val="3"/>
        <charset val="129"/>
      </rPr>
      <t xml:space="preserve">동의자 성명 : </t>
    </r>
    <r>
      <rPr>
        <b/>
        <u/>
        <sz val="10"/>
        <color indexed="10"/>
        <rFont val="굴림"/>
        <family val="3"/>
        <charset val="129"/>
      </rPr>
      <t xml:space="preserve">                 </t>
    </r>
    <r>
      <rPr>
        <b/>
        <u/>
        <sz val="10"/>
        <rFont val="굴림"/>
        <family val="3"/>
        <charset val="129"/>
      </rPr>
      <t xml:space="preserve"> </t>
    </r>
    <r>
      <rPr>
        <b/>
        <u/>
        <sz val="10"/>
        <color indexed="10"/>
        <rFont val="굴림"/>
        <family val="3"/>
        <charset val="129"/>
      </rPr>
      <t xml:space="preserve">               (인)</t>
    </r>
    <phoneticPr fontId="4" type="noConversion"/>
  </si>
  <si>
    <r>
      <t xml:space="preserve">2. 상기 안전보호구 수령확인 및 근로계약/취업규칙 내용을 확인하고 이행함을 동의합니다.        </t>
    </r>
    <r>
      <rPr>
        <b/>
        <sz val="10"/>
        <color rgb="FFFF0000"/>
        <rFont val="굴림"/>
        <family val="3"/>
        <charset val="129"/>
      </rPr>
      <t xml:space="preserve">동의자 성명 :  </t>
    </r>
    <r>
      <rPr>
        <b/>
        <u/>
        <sz val="10"/>
        <color rgb="FFFF0000"/>
        <rFont val="굴림"/>
        <family val="3"/>
        <charset val="129"/>
      </rPr>
      <t xml:space="preserve">         </t>
    </r>
    <r>
      <rPr>
        <b/>
        <u/>
        <sz val="10"/>
        <rFont val="굴림"/>
        <family val="3"/>
        <charset val="129"/>
      </rPr>
      <t xml:space="preserve"> </t>
    </r>
    <r>
      <rPr>
        <b/>
        <u/>
        <sz val="10"/>
        <color rgb="FFFF0000"/>
        <rFont val="굴림"/>
        <family val="3"/>
        <charset val="129"/>
      </rPr>
      <t xml:space="preserve">             </t>
    </r>
    <r>
      <rPr>
        <b/>
        <sz val="10"/>
        <color rgb="FFFF0000"/>
        <rFont val="굴림"/>
        <family val="3"/>
        <charset val="129"/>
      </rPr>
      <t>(인)</t>
    </r>
    <phoneticPr fontId="3" type="noConversion"/>
  </si>
  <si>
    <r>
      <t xml:space="preserve"> 상기 근로조건을 확인하였으며, 그외 사항은 현장 취업규칙에 정한바에 따른다.  상기 근로계약서를 정히 교부받았음</t>
    </r>
    <r>
      <rPr>
        <b/>
        <u/>
        <sz val="10"/>
        <color indexed="10"/>
        <rFont val="굴림"/>
        <family val="3"/>
        <charset val="129"/>
      </rPr>
      <t xml:space="preserve">           </t>
    </r>
    <r>
      <rPr>
        <b/>
        <u/>
        <sz val="10"/>
        <rFont val="굴림"/>
        <family val="3"/>
        <charset val="129"/>
      </rPr>
      <t xml:space="preserve"> </t>
    </r>
    <r>
      <rPr>
        <b/>
        <u/>
        <sz val="10"/>
        <color indexed="10"/>
        <rFont val="굴림"/>
        <family val="3"/>
        <charset val="129"/>
      </rPr>
      <t xml:space="preserve">          (인)</t>
    </r>
    <phoneticPr fontId="4" type="noConversion"/>
  </si>
  <si>
    <r>
      <t xml:space="preserve">                                                </t>
    </r>
    <r>
      <rPr>
        <sz val="10"/>
        <color indexed="55"/>
        <rFont val="굴림"/>
        <family val="3"/>
        <charset val="129"/>
      </rPr>
      <t xml:space="preserve"> (서명또는 날인)</t>
    </r>
    <phoneticPr fontId="4" type="noConversion"/>
  </si>
  <si>
    <t xml:space="preserve">              '(인)</t>
    <phoneticPr fontId="4" type="noConversion"/>
  </si>
  <si>
    <r>
      <t xml:space="preserve"> </t>
    </r>
    <r>
      <rPr>
        <b/>
        <u/>
        <sz val="10"/>
        <color indexed="62"/>
        <rFont val="굴림"/>
        <family val="3"/>
        <charset val="129"/>
      </rPr>
      <t xml:space="preserve"> 2026. 01  . 01  .  ~</t>
    </r>
    <phoneticPr fontId="4" type="noConversion"/>
  </si>
  <si>
    <r>
      <t xml:space="preserve"> </t>
    </r>
    <r>
      <rPr>
        <b/>
        <u/>
        <sz val="10"/>
        <color indexed="62"/>
        <rFont val="굴림"/>
        <family val="3"/>
        <charset val="129"/>
      </rPr>
      <t xml:space="preserve"> 2026 . 01  . 31   .  (1개월)</t>
    </r>
    <phoneticPr fontId="4" type="noConversion"/>
  </si>
  <si>
    <r>
      <t xml:space="preserve"> </t>
    </r>
    <r>
      <rPr>
        <b/>
        <u/>
        <sz val="10"/>
        <color indexed="62"/>
        <rFont val="굴림"/>
        <family val="3"/>
        <charset val="129"/>
      </rPr>
      <t xml:space="preserve"> 2026. 02 . 01 .  ~</t>
    </r>
    <phoneticPr fontId="4" type="noConversion"/>
  </si>
  <si>
    <r>
      <t xml:space="preserve"> </t>
    </r>
    <r>
      <rPr>
        <b/>
        <u/>
        <sz val="10"/>
        <color indexed="62"/>
        <rFont val="굴림"/>
        <family val="3"/>
        <charset val="129"/>
      </rPr>
      <t xml:space="preserve"> 2026 . 02  . 28  .  (1개월)</t>
    </r>
    <phoneticPr fontId="4" type="noConversion"/>
  </si>
  <si>
    <r>
      <rPr>
        <sz val="10"/>
        <rFont val="굴림"/>
        <family val="3"/>
        <charset val="129"/>
      </rPr>
      <t xml:space="preserve">동의한다.  </t>
    </r>
    <r>
      <rPr>
        <b/>
        <sz val="10"/>
        <rFont val="굴림"/>
        <family val="3"/>
        <charset val="129"/>
      </rPr>
      <t xml:space="preserve">                                                                                                        </t>
    </r>
    <r>
      <rPr>
        <b/>
        <u/>
        <sz val="10"/>
        <color rgb="FFFF0000"/>
        <rFont val="굴림"/>
        <family val="3"/>
        <charset val="129"/>
      </rPr>
      <t>동의자                    (인)</t>
    </r>
    <r>
      <rPr>
        <b/>
        <u/>
        <sz val="10"/>
        <rFont val="굴림"/>
        <family val="3"/>
        <charset val="129"/>
      </rPr>
      <t xml:space="preserve"> </t>
    </r>
    <phoneticPr fontId="3" type="noConversion"/>
  </si>
  <si>
    <r>
      <t xml:space="preserve">    연장 2.5시간 0.5공수)로 산정. 포괄일당 및  임금정책 변경시 시간급으로 산정하는데에 동의한다 </t>
    </r>
    <r>
      <rPr>
        <b/>
        <u/>
        <sz val="10"/>
        <rFont val="굴림"/>
        <family val="3"/>
        <charset val="129"/>
      </rPr>
      <t xml:space="preserve">:  </t>
    </r>
    <r>
      <rPr>
        <b/>
        <u/>
        <sz val="10"/>
        <color rgb="FFFF0000"/>
        <rFont val="굴림"/>
        <family val="3"/>
        <charset val="129"/>
      </rPr>
      <t xml:space="preserve">동의자                (인) </t>
    </r>
    <r>
      <rPr>
        <b/>
        <u/>
        <sz val="10"/>
        <rFont val="굴림"/>
        <family val="3"/>
        <charset val="129"/>
      </rPr>
      <t xml:space="preserve"> </t>
    </r>
    <phoneticPr fontId="4" type="noConversion"/>
  </si>
  <si>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sz val="10"/>
        <color rgb="FFFF0000"/>
        <rFont val="굴림"/>
        <family val="3"/>
        <charset val="129"/>
      </rPr>
      <t>동의자 성명 :                 (인)</t>
    </r>
    <phoneticPr fontId="4" type="noConversion"/>
  </si>
  <si>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sz val="10"/>
        <color rgb="FFFF0000"/>
        <rFont val="굴림"/>
        <family val="3"/>
        <charset val="129"/>
      </rPr>
      <t>개</t>
    </r>
    <r>
      <rPr>
        <u/>
        <sz val="10"/>
        <color rgb="FFFF0000"/>
        <rFont val="굴림"/>
        <family val="3"/>
        <charset val="129"/>
      </rPr>
      <t>인정보제공 동의자  성명 :                          (인)</t>
    </r>
    <r>
      <rPr>
        <u/>
        <sz val="10"/>
        <rFont val="굴림"/>
        <family val="3"/>
        <charset val="129"/>
      </rPr>
      <t xml:space="preserve"> 
</t>
    </r>
    <r>
      <rPr>
        <sz val="10"/>
        <rFont val="굴림"/>
        <family val="3"/>
        <charset val="129"/>
      </rPr>
      <t xml:space="preserve">5. "을"은 "갑"의 타 현장에서 자발적사직/계약기간 만료 되었음을 확인하며  본 계약 이후 근로관계가 새로이 시작되는 것에 이의없이 
    동의합니다 (* 현장 최초출역일에만 작성)                                       </t>
    </r>
    <r>
      <rPr>
        <sz val="10"/>
        <color rgb="FFFF0000"/>
        <rFont val="굴림"/>
        <family val="3"/>
        <charset val="129"/>
      </rPr>
      <t xml:space="preserve">동의자 성명 : </t>
    </r>
    <r>
      <rPr>
        <b/>
        <u/>
        <sz val="10"/>
        <color rgb="FFFF0000"/>
        <rFont val="굴림"/>
        <family val="3"/>
        <charset val="129"/>
      </rPr>
      <t xml:space="preserve">                 (인)</t>
    </r>
    <phoneticPr fontId="4" type="noConversion"/>
  </si>
  <si>
    <r>
      <t xml:space="preserve">2. 상기 안전보호구 수령확인 및 근로계약/취업규칙 내용을 확인하고 이행함을 동의합니다.        </t>
    </r>
    <r>
      <rPr>
        <b/>
        <sz val="10"/>
        <color rgb="FFFF0000"/>
        <rFont val="굴림"/>
        <family val="3"/>
        <charset val="129"/>
      </rPr>
      <t xml:space="preserve">동의자 성명 :  </t>
    </r>
    <r>
      <rPr>
        <b/>
        <u/>
        <sz val="10"/>
        <color rgb="FFFF0000"/>
        <rFont val="굴림"/>
        <family val="3"/>
        <charset val="129"/>
      </rPr>
      <t xml:space="preserve">                 </t>
    </r>
    <r>
      <rPr>
        <b/>
        <sz val="10"/>
        <color rgb="FFFF0000"/>
        <rFont val="굴림"/>
        <family val="3"/>
        <charset val="129"/>
      </rPr>
      <t>(인)</t>
    </r>
    <phoneticPr fontId="3" type="noConversion"/>
  </si>
  <si>
    <r>
      <t xml:space="preserve"> 상기 근로조건을 확인하였으며, 그외 사항은 현장 취업규칙에 정한바에 따른다.  상기 근로계약서를 정히 교부받았음</t>
    </r>
    <r>
      <rPr>
        <b/>
        <u/>
        <sz val="10"/>
        <color rgb="FFFF0000"/>
        <rFont val="굴림"/>
        <family val="3"/>
        <charset val="129"/>
      </rPr>
      <t xml:space="preserve">                    (인)</t>
    </r>
    <phoneticPr fontId="4" type="noConversion"/>
  </si>
  <si>
    <t xml:space="preserve">                       '(인)</t>
    <phoneticPr fontId="4" type="noConversion"/>
  </si>
  <si>
    <t xml:space="preserve">                                                                 (서명또는 날인)</t>
    <phoneticPr fontId="4" type="noConversion"/>
  </si>
  <si>
    <r>
      <t xml:space="preserve">    연장 2.5시간 0.5공수)로 산정. 포괄일당 및  임금정책 변경시 시간급으로 산정하는데에 동의한다 </t>
    </r>
    <r>
      <rPr>
        <b/>
        <u/>
        <sz val="10"/>
        <color indexed="30"/>
        <rFont val="굴림"/>
        <family val="3"/>
        <charset val="129"/>
      </rPr>
      <t xml:space="preserve">:  </t>
    </r>
    <r>
      <rPr>
        <b/>
        <u/>
        <sz val="10"/>
        <color indexed="10"/>
        <rFont val="굴림"/>
        <family val="3"/>
        <charset val="129"/>
      </rPr>
      <t xml:space="preserve">동의자                        (인)  </t>
    </r>
    <phoneticPr fontId="4" type="noConversion"/>
  </si>
  <si>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sz val="10"/>
        <color indexed="10"/>
        <rFont val="굴림"/>
        <family val="3"/>
        <charset val="129"/>
      </rPr>
      <t>동의자 성명 :                         (인)</t>
    </r>
    <phoneticPr fontId="4" type="noConversion"/>
  </si>
  <si>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sz val="10"/>
        <color indexed="10"/>
        <rFont val="굴림"/>
        <family val="3"/>
        <charset val="129"/>
      </rPr>
      <t xml:space="preserve">            개</t>
    </r>
    <r>
      <rPr>
        <u/>
        <sz val="10"/>
        <color indexed="10"/>
        <rFont val="굴림"/>
        <family val="3"/>
        <charset val="129"/>
      </rPr>
      <t xml:space="preserve">인정보제공 동의자  성명 :                              (인) 
</t>
    </r>
    <r>
      <rPr>
        <sz val="10"/>
        <color indexed="18"/>
        <rFont val="굴림"/>
        <family val="3"/>
        <charset val="129"/>
      </rPr>
      <t xml:space="preserve">5. "을"은 "갑"의 타 현장에서 자발적사직/계약기간 만료 되었음을 확인하며  본 계약 이후 근로관계가 새로이 시작되는 것에 이의없이 
    동의합니다 (* 현장 최초출역일에만 작성)                                       </t>
    </r>
    <r>
      <rPr>
        <sz val="10"/>
        <color indexed="10"/>
        <rFont val="굴림"/>
        <family val="3"/>
        <charset val="129"/>
      </rPr>
      <t xml:space="preserve">동의자 성명 : </t>
    </r>
    <r>
      <rPr>
        <b/>
        <u/>
        <sz val="10"/>
        <color indexed="10"/>
        <rFont val="굴림"/>
        <family val="3"/>
        <charset val="129"/>
      </rPr>
      <t xml:space="preserve">                                  (인)</t>
    </r>
    <phoneticPr fontId="4" type="noConversion"/>
  </si>
  <si>
    <r>
      <t xml:space="preserve">2. 상기 안전보호구 수령확인 및 근로계약/취업규칙 내용을 확인하고 이행함을 동의합니다.        </t>
    </r>
    <r>
      <rPr>
        <b/>
        <sz val="10"/>
        <color rgb="FFFF0000"/>
        <rFont val="굴림"/>
        <family val="3"/>
        <charset val="129"/>
      </rPr>
      <t xml:space="preserve">동의자 성명 :  </t>
    </r>
    <r>
      <rPr>
        <b/>
        <u/>
        <sz val="10"/>
        <color rgb="FFFF0000"/>
        <rFont val="굴림"/>
        <family val="3"/>
        <charset val="129"/>
      </rPr>
      <t xml:space="preserve">                           </t>
    </r>
    <r>
      <rPr>
        <b/>
        <sz val="10"/>
        <color rgb="FFFF0000"/>
        <rFont val="굴림"/>
        <family val="3"/>
        <charset val="129"/>
      </rPr>
      <t>(인)</t>
    </r>
    <phoneticPr fontId="3" type="noConversion"/>
  </si>
  <si>
    <r>
      <t xml:space="preserve"> 상기 근로조건을 확인하였으며, 그외 사항은 현장 취업규칙에 정한바에 따른다.  상기 근로계약서를 정히 교부받았음</t>
    </r>
    <r>
      <rPr>
        <b/>
        <u/>
        <sz val="10"/>
        <color indexed="10"/>
        <rFont val="굴림"/>
        <family val="3"/>
        <charset val="129"/>
      </rPr>
      <t xml:space="preserve">                       (인)</t>
    </r>
    <phoneticPr fontId="4" type="noConversion"/>
  </si>
  <si>
    <t xml:space="preserve">         '(인)</t>
    <phoneticPr fontId="4" type="noConversion"/>
  </si>
  <si>
    <r>
      <t xml:space="preserve">                                                                </t>
    </r>
    <r>
      <rPr>
        <sz val="10"/>
        <color indexed="55"/>
        <rFont val="굴림"/>
        <family val="3"/>
        <charset val="129"/>
      </rPr>
      <t xml:space="preserve"> (서명또는 날인)</t>
    </r>
    <phoneticPr fontId="4" type="noConversion"/>
  </si>
  <si>
    <r>
      <t xml:space="preserve"> </t>
    </r>
    <r>
      <rPr>
        <b/>
        <u/>
        <sz val="10"/>
        <color indexed="62"/>
        <rFont val="굴림"/>
        <family val="3"/>
        <charset val="129"/>
      </rPr>
      <t xml:space="preserve"> 2026. 03 . 01 .  ~</t>
    </r>
    <phoneticPr fontId="4" type="noConversion"/>
  </si>
  <si>
    <r>
      <t xml:space="preserve"> </t>
    </r>
    <r>
      <rPr>
        <b/>
        <u/>
        <sz val="10"/>
        <color indexed="62"/>
        <rFont val="굴림"/>
        <family val="3"/>
        <charset val="129"/>
      </rPr>
      <t xml:space="preserve"> 2026 . 03  . 31  .  (1개월)</t>
    </r>
    <phoneticPr fontId="4" type="noConversion"/>
  </si>
  <si>
    <r>
      <t xml:space="preserve">    연장 2.5시간 0.5공수)로 산정. 포괄일당 및  임금정책 변경시 시간급으로 산정하는데에 동의한다 </t>
    </r>
    <r>
      <rPr>
        <b/>
        <u/>
        <sz val="10"/>
        <color indexed="30"/>
        <rFont val="굴림"/>
        <family val="3"/>
        <charset val="129"/>
      </rPr>
      <t xml:space="preserve">:  </t>
    </r>
    <r>
      <rPr>
        <b/>
        <u/>
        <sz val="10"/>
        <color indexed="10"/>
        <rFont val="굴림"/>
        <family val="3"/>
        <charset val="129"/>
      </rPr>
      <t xml:space="preserve">동의자           </t>
    </r>
    <r>
      <rPr>
        <b/>
        <u/>
        <sz val="10"/>
        <rFont val="굴림"/>
        <family val="3"/>
        <charset val="129"/>
      </rPr>
      <t xml:space="preserve"> </t>
    </r>
    <r>
      <rPr>
        <b/>
        <u/>
        <sz val="10"/>
        <color indexed="10"/>
        <rFont val="굴림"/>
        <family val="3"/>
        <charset val="129"/>
      </rPr>
      <t xml:space="preserve">          (인)  </t>
    </r>
    <phoneticPr fontId="4" type="noConversion"/>
  </si>
  <si>
    <r>
      <rPr>
        <sz val="10"/>
        <color theme="1"/>
        <rFont val="굴림"/>
        <family val="3"/>
        <charset val="129"/>
      </rPr>
      <t xml:space="preserve">동의한다.  </t>
    </r>
    <r>
      <rPr>
        <b/>
        <sz val="10"/>
        <color rgb="FFFF0000"/>
        <rFont val="굴림"/>
        <family val="3"/>
        <charset val="129"/>
      </rPr>
      <t xml:space="preserve">                                                                                                        </t>
    </r>
    <r>
      <rPr>
        <b/>
        <u/>
        <sz val="10"/>
        <color rgb="FFFF0000"/>
        <rFont val="굴림"/>
        <family val="3"/>
        <charset val="129"/>
      </rPr>
      <t xml:space="preserve">동의자                      (인) </t>
    </r>
    <phoneticPr fontId="3" type="noConversion"/>
  </si>
  <si>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sz val="10"/>
        <color indexed="10"/>
        <rFont val="굴림"/>
        <family val="3"/>
        <charset val="129"/>
      </rPr>
      <t>동의자 성명 :                        (인)</t>
    </r>
    <phoneticPr fontId="4" type="noConversion"/>
  </si>
  <si>
    <r>
      <t xml:space="preserve">2. 상기 안전보호구 수령확인 및 근로계약/취업규칙 내용을 확인하고 이행함을 동의합니다.        </t>
    </r>
    <r>
      <rPr>
        <b/>
        <sz val="10"/>
        <color rgb="FFFF0000"/>
        <rFont val="굴림"/>
        <family val="3"/>
        <charset val="129"/>
      </rPr>
      <t xml:space="preserve">동의자 성명 :  </t>
    </r>
    <r>
      <rPr>
        <b/>
        <u/>
        <sz val="10"/>
        <color rgb="FFFF0000"/>
        <rFont val="굴림"/>
        <family val="3"/>
        <charset val="129"/>
      </rPr>
      <t xml:space="preserve">                          </t>
    </r>
    <r>
      <rPr>
        <b/>
        <sz val="10"/>
        <color rgb="FFFF0000"/>
        <rFont val="굴림"/>
        <family val="3"/>
        <charset val="129"/>
      </rPr>
      <t>(인)</t>
    </r>
    <phoneticPr fontId="3" type="noConversion"/>
  </si>
  <si>
    <r>
      <t xml:space="preserve"> 상기 근로조건을 확인하였으며, 그외 사항은 현장 취업규칙에 정한바에 따른다.  상기 근로계약서를 정히 교부받았음</t>
    </r>
    <r>
      <rPr>
        <b/>
        <u/>
        <sz val="10"/>
        <color indexed="10"/>
        <rFont val="굴림"/>
        <family val="3"/>
        <charset val="129"/>
      </rPr>
      <t xml:space="preserve">                  (인)</t>
    </r>
    <phoneticPr fontId="4" type="noConversion"/>
  </si>
  <si>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sz val="10"/>
        <color indexed="10"/>
        <rFont val="굴림"/>
        <family val="3"/>
        <charset val="129"/>
      </rPr>
      <t xml:space="preserve">            개</t>
    </r>
    <r>
      <rPr>
        <u/>
        <sz val="10"/>
        <color indexed="10"/>
        <rFont val="굴림"/>
        <family val="3"/>
        <charset val="129"/>
      </rPr>
      <t xml:space="preserve">인정보제공 동의자  성명 :                                 (인) 
</t>
    </r>
    <r>
      <rPr>
        <sz val="10"/>
        <color indexed="18"/>
        <rFont val="굴림"/>
        <family val="3"/>
        <charset val="129"/>
      </rPr>
      <t xml:space="preserve">5. "을"은 "갑"의 타 현장에서 자발적사직/계약기간 만료 되었음을 확인하며  본 계약 이후 근로관계가 새로이 시작되는 것에 이의없이 
    동의합니다 (* 현장 최초출역일에만 작성)                                       </t>
    </r>
    <r>
      <rPr>
        <sz val="10"/>
        <color indexed="10"/>
        <rFont val="굴림"/>
        <family val="3"/>
        <charset val="129"/>
      </rPr>
      <t xml:space="preserve">동의자 성명 : </t>
    </r>
    <r>
      <rPr>
        <b/>
        <u/>
        <sz val="10"/>
        <color indexed="10"/>
        <rFont val="굴림"/>
        <family val="3"/>
        <charset val="129"/>
      </rPr>
      <t xml:space="preserve">                                   (인)</t>
    </r>
    <phoneticPr fontId="4" type="noConversion"/>
  </si>
  <si>
    <r>
      <t xml:space="preserve"> </t>
    </r>
    <r>
      <rPr>
        <b/>
        <u/>
        <sz val="10"/>
        <color indexed="62"/>
        <rFont val="굴림"/>
        <family val="3"/>
        <charset val="129"/>
      </rPr>
      <t xml:space="preserve"> 2026. 04 . 01 .  ~</t>
    </r>
    <phoneticPr fontId="4" type="noConversion"/>
  </si>
  <si>
    <r>
      <t xml:space="preserve"> </t>
    </r>
    <r>
      <rPr>
        <b/>
        <u/>
        <sz val="10"/>
        <color indexed="62"/>
        <rFont val="굴림"/>
        <family val="3"/>
        <charset val="129"/>
      </rPr>
      <t xml:space="preserve"> 2026 . 04  . 30  .  (1개월)</t>
    </r>
    <phoneticPr fontId="4" type="noConversion"/>
  </si>
  <si>
    <r>
      <t xml:space="preserve">    연장 2.5시간 0.5공수)로 산정. 포괄일당 및  임금정책 변경시 시간급으로 산정하는데에 동의한다 </t>
    </r>
    <r>
      <rPr>
        <b/>
        <u/>
        <sz val="10"/>
        <color indexed="30"/>
        <rFont val="굴림"/>
        <family val="3"/>
        <charset val="129"/>
      </rPr>
      <t xml:space="preserve">:  </t>
    </r>
    <r>
      <rPr>
        <b/>
        <u/>
        <sz val="10"/>
        <color indexed="10"/>
        <rFont val="굴림"/>
        <family val="3"/>
        <charset val="129"/>
      </rPr>
      <t xml:space="preserve">동의자                         (인)  </t>
    </r>
    <phoneticPr fontId="4" type="noConversion"/>
  </si>
  <si>
    <r>
      <rPr>
        <sz val="10"/>
        <color theme="1"/>
        <rFont val="굴림"/>
        <family val="3"/>
        <charset val="129"/>
      </rPr>
      <t xml:space="preserve">동의한다.  </t>
    </r>
    <r>
      <rPr>
        <b/>
        <sz val="10"/>
        <color rgb="FFFF0000"/>
        <rFont val="굴림"/>
        <family val="3"/>
        <charset val="129"/>
      </rPr>
      <t xml:space="preserve">                                                                                                        </t>
    </r>
    <r>
      <rPr>
        <b/>
        <u/>
        <sz val="10"/>
        <color rgb="FFFF0000"/>
        <rFont val="굴림"/>
        <family val="3"/>
        <charset val="129"/>
      </rPr>
      <t xml:space="preserve">동의자                         (인) </t>
    </r>
    <phoneticPr fontId="3" type="noConversion"/>
  </si>
  <si>
    <r>
      <t xml:space="preserve"> </t>
    </r>
    <r>
      <rPr>
        <b/>
        <u/>
        <sz val="10"/>
        <color indexed="62"/>
        <rFont val="굴림"/>
        <family val="3"/>
        <charset val="129"/>
      </rPr>
      <t xml:space="preserve"> 2026. 05 . 01 .  ~</t>
    </r>
    <phoneticPr fontId="4" type="noConversion"/>
  </si>
  <si>
    <r>
      <t xml:space="preserve"> </t>
    </r>
    <r>
      <rPr>
        <b/>
        <u/>
        <sz val="10"/>
        <color indexed="62"/>
        <rFont val="굴림"/>
        <family val="3"/>
        <charset val="129"/>
      </rPr>
      <t xml:space="preserve"> 2026 . 05  . 31  .  (1개월)</t>
    </r>
    <phoneticPr fontId="4" type="noConversion"/>
  </si>
  <si>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sz val="10"/>
        <color indexed="10"/>
        <rFont val="굴림"/>
        <family val="3"/>
        <charset val="129"/>
      </rPr>
      <t xml:space="preserve">            개</t>
    </r>
    <r>
      <rPr>
        <u/>
        <sz val="10"/>
        <color indexed="10"/>
        <rFont val="굴림"/>
        <family val="3"/>
        <charset val="129"/>
      </rPr>
      <t xml:space="preserve">인정보제공 동의자  성명 :                                   (인) 
</t>
    </r>
    <r>
      <rPr>
        <sz val="10"/>
        <color indexed="18"/>
        <rFont val="굴림"/>
        <family val="3"/>
        <charset val="129"/>
      </rPr>
      <t xml:space="preserve">5. "을"은 "갑"의 타 현장에서 자발적사직/계약기간 만료 되었음을 확인하며  본 계약 이후 근로관계가 새로이 시작되는 것에 이의없이 
    동의합니다 (* 현장 최초출역일에만 작성)                                       </t>
    </r>
    <r>
      <rPr>
        <sz val="10"/>
        <color indexed="10"/>
        <rFont val="굴림"/>
        <family val="3"/>
        <charset val="129"/>
      </rPr>
      <t xml:space="preserve">동의자 성명 : </t>
    </r>
    <r>
      <rPr>
        <b/>
        <u/>
        <sz val="10"/>
        <color indexed="10"/>
        <rFont val="굴림"/>
        <family val="3"/>
        <charset val="129"/>
      </rPr>
      <t xml:space="preserve">                                    (인)</t>
    </r>
    <phoneticPr fontId="4" type="noConversion"/>
  </si>
  <si>
    <t xml:space="preserve">     '      '(인)</t>
    <phoneticPr fontId="4" type="noConversion"/>
  </si>
  <si>
    <r>
      <t xml:space="preserve">2. 상기 안전보호구 수령확인 및 근로계약/취업규칙 내용을 확인하고 이행함을 동의합니다.        </t>
    </r>
    <r>
      <rPr>
        <b/>
        <sz val="10"/>
        <color rgb="FFFF0000"/>
        <rFont val="굴림"/>
        <family val="3"/>
        <charset val="129"/>
      </rPr>
      <t xml:space="preserve">동의자 성명 :  </t>
    </r>
    <r>
      <rPr>
        <b/>
        <u/>
        <sz val="10"/>
        <color rgb="FFFF0000"/>
        <rFont val="굴림"/>
        <family val="3"/>
        <charset val="129"/>
      </rPr>
      <t xml:space="preserve">                       </t>
    </r>
    <r>
      <rPr>
        <b/>
        <sz val="10"/>
        <color rgb="FFFF0000"/>
        <rFont val="굴림"/>
        <family val="3"/>
        <charset val="129"/>
      </rPr>
      <t>(인)</t>
    </r>
    <phoneticPr fontId="3" type="noConversion"/>
  </si>
  <si>
    <r>
      <t xml:space="preserve"> 상기 근로조건을 확인하였으며, 그외 사항은 현장 취업규칙에 정한바에 따른다.  상기 근로계약서를 정히 교부받았음</t>
    </r>
    <r>
      <rPr>
        <b/>
        <u/>
        <sz val="10"/>
        <color indexed="10"/>
        <rFont val="굴림"/>
        <family val="3"/>
        <charset val="129"/>
      </rPr>
      <t xml:space="preserve">                    (인)</t>
    </r>
    <phoneticPr fontId="4" type="noConversion"/>
  </si>
  <si>
    <t xml:space="preserve">                                                                   (서명또는 날인)</t>
    <phoneticPr fontId="4" type="noConversion"/>
  </si>
  <si>
    <t>작성일 :    2026  .  05    .       .</t>
    <phoneticPr fontId="4" type="noConversion"/>
  </si>
  <si>
    <t>작성일 :    2026  .  01    .       .</t>
    <phoneticPr fontId="4" type="noConversion"/>
  </si>
  <si>
    <t>작성일 :    2026  .  02      .       .</t>
    <phoneticPr fontId="4" type="noConversion"/>
  </si>
  <si>
    <t>작성일 :    2026  .  03     .       .</t>
    <phoneticPr fontId="4" type="noConversion"/>
  </si>
  <si>
    <t>작성일 :    2026  .  04    .       .</t>
    <phoneticPr fontId="4" type="noConversion"/>
  </si>
  <si>
    <r>
      <t xml:space="preserve"> </t>
    </r>
    <r>
      <rPr>
        <b/>
        <u/>
        <sz val="10"/>
        <color indexed="62"/>
        <rFont val="굴림"/>
        <family val="3"/>
        <charset val="129"/>
      </rPr>
      <t xml:space="preserve"> 2026. 06 . 01 .  ~</t>
    </r>
    <phoneticPr fontId="4" type="noConversion"/>
  </si>
  <si>
    <r>
      <t xml:space="preserve"> </t>
    </r>
    <r>
      <rPr>
        <b/>
        <u/>
        <sz val="10"/>
        <color indexed="62"/>
        <rFont val="굴림"/>
        <family val="3"/>
        <charset val="129"/>
      </rPr>
      <t xml:space="preserve"> 2026 . 06  . 30  .  (1개월)</t>
    </r>
    <phoneticPr fontId="4" type="noConversion"/>
  </si>
  <si>
    <r>
      <t xml:space="preserve">    연장 2.5시간 0.5공수)로 산정. 포괄일당 및  임금정책 변경시 시간급으로 산정하는데에 동의한다 </t>
    </r>
    <r>
      <rPr>
        <b/>
        <u/>
        <sz val="10"/>
        <color indexed="30"/>
        <rFont val="굴림"/>
        <family val="3"/>
        <charset val="129"/>
      </rPr>
      <t xml:space="preserve">:  </t>
    </r>
    <r>
      <rPr>
        <b/>
        <u/>
        <sz val="10"/>
        <color indexed="10"/>
        <rFont val="굴림"/>
        <family val="3"/>
        <charset val="129"/>
      </rPr>
      <t xml:space="preserve">동의자                          (인)  </t>
    </r>
    <phoneticPr fontId="4" type="noConversion"/>
  </si>
  <si>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sz val="10"/>
        <color indexed="10"/>
        <rFont val="굴림"/>
        <family val="3"/>
        <charset val="129"/>
      </rPr>
      <t xml:space="preserve">            개</t>
    </r>
    <r>
      <rPr>
        <u/>
        <sz val="10"/>
        <color indexed="10"/>
        <rFont val="굴림"/>
        <family val="3"/>
        <charset val="129"/>
      </rPr>
      <t xml:space="preserve">인정보제공 동의자  성명 :                                (인) 
</t>
    </r>
    <r>
      <rPr>
        <sz val="10"/>
        <color indexed="18"/>
        <rFont val="굴림"/>
        <family val="3"/>
        <charset val="129"/>
      </rPr>
      <t xml:space="preserve">5. "을"은 "갑"의 타 현장에서 자발적사직/계약기간 만료 되었음을 확인하며  본 계약 이후 근로관계가 새로이 시작되는 것에 이의없이 
    동의합니다 (* 현장 최초출역일에만 작성)                                       </t>
    </r>
    <r>
      <rPr>
        <sz val="10"/>
        <color indexed="10"/>
        <rFont val="굴림"/>
        <family val="3"/>
        <charset val="129"/>
      </rPr>
      <t xml:space="preserve">동의자 성명 : </t>
    </r>
    <r>
      <rPr>
        <b/>
        <u/>
        <sz val="10"/>
        <color indexed="10"/>
        <rFont val="굴림"/>
        <family val="3"/>
        <charset val="129"/>
      </rPr>
      <t xml:space="preserve">                                  (인)</t>
    </r>
    <phoneticPr fontId="4" type="noConversion"/>
  </si>
  <si>
    <r>
      <t xml:space="preserve"> 상기 근로조건을 확인하였으며, 그외 사항은 현장 취업규칙에 정한바에 따른다.  상기 근로계약서를 정히 교부받았음</t>
    </r>
    <r>
      <rPr>
        <b/>
        <u/>
        <sz val="10"/>
        <color indexed="10"/>
        <rFont val="굴림"/>
        <family val="3"/>
        <charset val="129"/>
      </rPr>
      <t xml:space="preserve">                        (인)</t>
    </r>
    <phoneticPr fontId="4" type="noConversion"/>
  </si>
  <si>
    <t>작성일 :    2026  . 06    .       .</t>
    <phoneticPr fontId="4" type="noConversion"/>
  </si>
  <si>
    <r>
      <t xml:space="preserve">                                                             </t>
    </r>
    <r>
      <rPr>
        <sz val="10"/>
        <color indexed="55"/>
        <rFont val="굴림"/>
        <family val="3"/>
        <charset val="129"/>
      </rPr>
      <t xml:space="preserve"> (서명또는 날인)</t>
    </r>
    <phoneticPr fontId="4" type="noConversion"/>
  </si>
  <si>
    <r>
      <t xml:space="preserve"> </t>
    </r>
    <r>
      <rPr>
        <b/>
        <u/>
        <sz val="10"/>
        <color indexed="62"/>
        <rFont val="굴림"/>
        <family val="3"/>
        <charset val="129"/>
      </rPr>
      <t xml:space="preserve"> 2026. 07 . 01 .  ~</t>
    </r>
    <phoneticPr fontId="4" type="noConversion"/>
  </si>
  <si>
    <r>
      <t xml:space="preserve"> </t>
    </r>
    <r>
      <rPr>
        <b/>
        <u/>
        <sz val="10"/>
        <color indexed="62"/>
        <rFont val="굴림"/>
        <family val="3"/>
        <charset val="129"/>
      </rPr>
      <t xml:space="preserve"> 2026 . 07  . 31  .  (1개월)</t>
    </r>
    <phoneticPr fontId="4" type="noConversion"/>
  </si>
  <si>
    <r>
      <rPr>
        <sz val="10"/>
        <color theme="1"/>
        <rFont val="굴림"/>
        <family val="3"/>
        <charset val="129"/>
      </rPr>
      <t xml:space="preserve">동의한다.  </t>
    </r>
    <r>
      <rPr>
        <b/>
        <sz val="10"/>
        <color rgb="FFFF0000"/>
        <rFont val="굴림"/>
        <family val="3"/>
        <charset val="129"/>
      </rPr>
      <t xml:space="preserve">                                                                                                        </t>
    </r>
    <r>
      <rPr>
        <b/>
        <u/>
        <sz val="10"/>
        <color rgb="FFFF0000"/>
        <rFont val="굴림"/>
        <family val="3"/>
        <charset val="129"/>
      </rPr>
      <t xml:space="preserve">동의자                          (인) </t>
    </r>
    <phoneticPr fontId="3" type="noConversion"/>
  </si>
  <si>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sz val="10"/>
        <color indexed="10"/>
        <rFont val="굴림"/>
        <family val="3"/>
        <charset val="129"/>
      </rPr>
      <t xml:space="preserve">            개</t>
    </r>
    <r>
      <rPr>
        <u/>
        <sz val="10"/>
        <color indexed="10"/>
        <rFont val="굴림"/>
        <family val="3"/>
        <charset val="129"/>
      </rPr>
      <t xml:space="preserve">인정보제공 동의자  성명 :                              (인) 
</t>
    </r>
    <r>
      <rPr>
        <sz val="10"/>
        <color indexed="18"/>
        <rFont val="굴림"/>
        <family val="3"/>
        <charset val="129"/>
      </rPr>
      <t xml:space="preserve">5. "을"은 "갑"의 타 현장에서 자발적사직/계약기간 만료 되었음을 확인하며  본 계약 이후 근로관계가 새로이 시작되는 것에 이의없이 
    동의합니다 (* 현장 최초출역일에만 작성)                                       </t>
    </r>
    <r>
      <rPr>
        <sz val="10"/>
        <color indexed="10"/>
        <rFont val="굴림"/>
        <family val="3"/>
        <charset val="129"/>
      </rPr>
      <t xml:space="preserve">동의자 성명 : </t>
    </r>
    <r>
      <rPr>
        <b/>
        <u/>
        <sz val="10"/>
        <color indexed="10"/>
        <rFont val="굴림"/>
        <family val="3"/>
        <charset val="129"/>
      </rPr>
      <t xml:space="preserve">                                   (인)</t>
    </r>
    <phoneticPr fontId="4" type="noConversion"/>
  </si>
  <si>
    <r>
      <t xml:space="preserve">2. 상기 안전보호구 수령확인 및 근로계약/취업규칙 내용을 확인하고 이행함을 동의합니다.        </t>
    </r>
    <r>
      <rPr>
        <b/>
        <sz val="10"/>
        <color rgb="FFFF0000"/>
        <rFont val="굴림"/>
        <family val="3"/>
        <charset val="129"/>
      </rPr>
      <t xml:space="preserve">동의자 성명 :  </t>
    </r>
    <r>
      <rPr>
        <b/>
        <u/>
        <sz val="10"/>
        <color rgb="FFFF0000"/>
        <rFont val="굴림"/>
        <family val="3"/>
        <charset val="129"/>
      </rPr>
      <t xml:space="preserve">                         </t>
    </r>
    <r>
      <rPr>
        <b/>
        <sz val="10"/>
        <color rgb="FFFF0000"/>
        <rFont val="굴림"/>
        <family val="3"/>
        <charset val="129"/>
      </rPr>
      <t>(인)</t>
    </r>
    <phoneticPr fontId="3" type="noConversion"/>
  </si>
  <si>
    <r>
      <t xml:space="preserve"> 상기 근로조건을 확인하였으며, 그외 사항은 현장 취업규칙에 정한바에 따른다.  상기 근로계약서를 정히 교부받았음</t>
    </r>
    <r>
      <rPr>
        <b/>
        <u/>
        <sz val="10"/>
        <color indexed="10"/>
        <rFont val="굴림"/>
        <family val="3"/>
        <charset val="129"/>
      </rPr>
      <t xml:space="preserve">                      (인)</t>
    </r>
    <phoneticPr fontId="4" type="noConversion"/>
  </si>
  <si>
    <t xml:space="preserve">  '        '(인)</t>
    <phoneticPr fontId="4" type="noConversion"/>
  </si>
  <si>
    <t>작성일 :    2025  .   07     .          .</t>
    <phoneticPr fontId="4" type="noConversion"/>
  </si>
  <si>
    <r>
      <t xml:space="preserve"> </t>
    </r>
    <r>
      <rPr>
        <b/>
        <u/>
        <sz val="10"/>
        <color indexed="62"/>
        <rFont val="굴림"/>
        <family val="3"/>
        <charset val="129"/>
      </rPr>
      <t xml:space="preserve"> 2026. 08 . 01 .  ~</t>
    </r>
    <phoneticPr fontId="4" type="noConversion"/>
  </si>
  <si>
    <r>
      <t xml:space="preserve"> </t>
    </r>
    <r>
      <rPr>
        <b/>
        <u/>
        <sz val="10"/>
        <color indexed="62"/>
        <rFont val="굴림"/>
        <family val="3"/>
        <charset val="129"/>
      </rPr>
      <t xml:space="preserve"> 2026 . 08  . 31  .  (1개월)</t>
    </r>
    <phoneticPr fontId="4" type="noConversion"/>
  </si>
  <si>
    <r>
      <t xml:space="preserve">    연장 2.5시간 0.5공수)로 산정. 포괄일당 및  임금정책 변경시 시간급으로 산정하는데에 동의한다 </t>
    </r>
    <r>
      <rPr>
        <b/>
        <u/>
        <sz val="10"/>
        <color indexed="30"/>
        <rFont val="굴림"/>
        <family val="3"/>
        <charset val="129"/>
      </rPr>
      <t xml:space="preserve">:  </t>
    </r>
    <r>
      <rPr>
        <b/>
        <u/>
        <sz val="10"/>
        <color indexed="10"/>
        <rFont val="굴림"/>
        <family val="3"/>
        <charset val="129"/>
      </rPr>
      <t xml:space="preserve">동의자                       (인)  </t>
    </r>
    <phoneticPr fontId="4" type="noConversion"/>
  </si>
  <si>
    <r>
      <rPr>
        <sz val="10"/>
        <color theme="1"/>
        <rFont val="굴림"/>
        <family val="3"/>
        <charset val="129"/>
      </rPr>
      <t xml:space="preserve">동의한다.  </t>
    </r>
    <r>
      <rPr>
        <b/>
        <sz val="10"/>
        <color rgb="FFFF0000"/>
        <rFont val="굴림"/>
        <family val="3"/>
        <charset val="129"/>
      </rPr>
      <t xml:space="preserve">                                                                                                        </t>
    </r>
    <r>
      <rPr>
        <b/>
        <u/>
        <sz val="10"/>
        <color rgb="FFFF0000"/>
        <rFont val="굴림"/>
        <family val="3"/>
        <charset val="129"/>
      </rPr>
      <t xml:space="preserve">동의자                     (인) </t>
    </r>
    <phoneticPr fontId="3" type="noConversion"/>
  </si>
  <si>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sz val="10"/>
        <color indexed="10"/>
        <rFont val="굴림"/>
        <family val="3"/>
        <charset val="129"/>
      </rPr>
      <t xml:space="preserve">            개</t>
    </r>
    <r>
      <rPr>
        <u/>
        <sz val="10"/>
        <color indexed="10"/>
        <rFont val="굴림"/>
        <family val="3"/>
        <charset val="129"/>
      </rPr>
      <t xml:space="preserve">인정보제공 동의자  성명 :                             (인) 
</t>
    </r>
    <r>
      <rPr>
        <sz val="10"/>
        <color indexed="18"/>
        <rFont val="굴림"/>
        <family val="3"/>
        <charset val="129"/>
      </rPr>
      <t xml:space="preserve">5. "을"은 "갑"의 타 현장에서 자발적사직/계약기간 만료 되었음을 확인하며  본 계약 이후 근로관계가 새로이 시작되는 것에 이의없이 
    동의합니다 (* 현장 최초출역일에만 작성)                                       </t>
    </r>
    <r>
      <rPr>
        <sz val="10"/>
        <color indexed="10"/>
        <rFont val="굴림"/>
        <family val="3"/>
        <charset val="129"/>
      </rPr>
      <t xml:space="preserve">동의자 성명 : </t>
    </r>
    <r>
      <rPr>
        <b/>
        <u/>
        <sz val="10"/>
        <color indexed="10"/>
        <rFont val="굴림"/>
        <family val="3"/>
        <charset val="129"/>
      </rPr>
      <t xml:space="preserve">                                (인)</t>
    </r>
    <phoneticPr fontId="4" type="noConversion"/>
  </si>
  <si>
    <r>
      <t xml:space="preserve"> 상기 근로조건을 확인하였으며, 그외 사항은 현장 취업규칙에 정한바에 따른다.  상기 근로계약서를 정히 교부받았음</t>
    </r>
    <r>
      <rPr>
        <b/>
        <u/>
        <sz val="10"/>
        <color indexed="10"/>
        <rFont val="굴림"/>
        <family val="3"/>
        <charset val="129"/>
      </rPr>
      <t xml:space="preserve">                         (인)</t>
    </r>
    <phoneticPr fontId="4" type="noConversion"/>
  </si>
  <si>
    <t xml:space="preserve">                                                                      (서명또는 날인)</t>
    <phoneticPr fontId="4" type="noConversion"/>
  </si>
  <si>
    <t>작성일 :    2026  .  08     .        .</t>
    <phoneticPr fontId="4" type="noConversion"/>
  </si>
  <si>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sz val="10"/>
        <color indexed="10"/>
        <rFont val="굴림"/>
        <family val="3"/>
        <charset val="129"/>
      </rPr>
      <t xml:space="preserve">동의자 성명 :          </t>
    </r>
    <r>
      <rPr>
        <b/>
        <u/>
        <sz val="10"/>
        <rFont val="굴림"/>
        <family val="3"/>
        <charset val="129"/>
      </rPr>
      <t xml:space="preserve">    </t>
    </r>
    <r>
      <rPr>
        <b/>
        <u/>
        <sz val="10"/>
        <color indexed="10"/>
        <rFont val="굴림"/>
        <family val="3"/>
        <charset val="129"/>
      </rPr>
      <t xml:space="preserve">         (인)</t>
    </r>
    <phoneticPr fontId="4" type="noConversion"/>
  </si>
  <si>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sz val="10"/>
        <color indexed="10"/>
        <rFont val="굴림"/>
        <family val="3"/>
        <charset val="129"/>
      </rPr>
      <t xml:space="preserve">            개</t>
    </r>
    <r>
      <rPr>
        <u/>
        <sz val="10"/>
        <color indexed="10"/>
        <rFont val="굴림"/>
        <family val="3"/>
        <charset val="129"/>
      </rPr>
      <t xml:space="preserve">인정보제공 동의자  성명 :                              (인) 
</t>
    </r>
    <r>
      <rPr>
        <sz val="10"/>
        <color indexed="18"/>
        <rFont val="굴림"/>
        <family val="3"/>
        <charset val="129"/>
      </rPr>
      <t xml:space="preserve">5. "을"은 "갑"의 타 현장에서 자발적사직/계약기간 만료 되었음을 확인하며  본 계약 이후 근로관계가 새로이 시작되는 것에 이의없이 
    동의합니다 (* 현장 최초출역일에만 작성)                                       </t>
    </r>
    <r>
      <rPr>
        <sz val="10"/>
        <color indexed="10"/>
        <rFont val="굴림"/>
        <family val="3"/>
        <charset val="129"/>
      </rPr>
      <t xml:space="preserve">동의자 성명 : </t>
    </r>
    <r>
      <rPr>
        <b/>
        <u/>
        <sz val="10"/>
        <color indexed="10"/>
        <rFont val="굴림"/>
        <family val="3"/>
        <charset val="129"/>
      </rPr>
      <t xml:space="preserve">                           (인)</t>
    </r>
    <phoneticPr fontId="4" type="noConversion"/>
  </si>
  <si>
    <r>
      <t xml:space="preserve">2. 상기 안전보호구 수령확인 및 근로계약/취업규칙 내용을 확인하고 이행함을 동의합니다.        </t>
    </r>
    <r>
      <rPr>
        <b/>
        <sz val="10"/>
        <color rgb="FFFF0000"/>
        <rFont val="굴림"/>
        <family val="3"/>
        <charset val="129"/>
      </rPr>
      <t xml:space="preserve">동의자 성명 :  </t>
    </r>
    <r>
      <rPr>
        <b/>
        <u/>
        <sz val="10"/>
        <color rgb="FFFF0000"/>
        <rFont val="굴림"/>
        <family val="3"/>
        <charset val="129"/>
      </rPr>
      <t xml:space="preserve">         </t>
    </r>
    <r>
      <rPr>
        <b/>
        <u/>
        <sz val="10"/>
        <rFont val="굴림"/>
        <family val="3"/>
        <charset val="129"/>
      </rPr>
      <t xml:space="preserve">       </t>
    </r>
    <r>
      <rPr>
        <b/>
        <u/>
        <sz val="10"/>
        <color rgb="FFFF0000"/>
        <rFont val="굴림"/>
        <family val="3"/>
        <charset val="129"/>
      </rPr>
      <t xml:space="preserve">        </t>
    </r>
    <r>
      <rPr>
        <b/>
        <sz val="10"/>
        <color rgb="FFFF0000"/>
        <rFont val="굴림"/>
        <family val="3"/>
        <charset val="129"/>
      </rPr>
      <t>(인)</t>
    </r>
    <phoneticPr fontId="3" type="noConversion"/>
  </si>
  <si>
    <r>
      <rPr>
        <sz val="10"/>
        <color theme="1"/>
        <rFont val="굴림"/>
        <family val="3"/>
        <charset val="129"/>
      </rPr>
      <t xml:space="preserve">   </t>
    </r>
    <r>
      <rPr>
        <sz val="10"/>
        <color rgb="FFFF0000"/>
        <rFont val="굴림"/>
        <family val="3"/>
        <charset val="129"/>
      </rPr>
      <t xml:space="preserve">                                                           </t>
    </r>
    <r>
      <rPr>
        <sz val="10"/>
        <color indexed="55"/>
        <rFont val="굴림"/>
        <family val="3"/>
        <charset val="129"/>
      </rPr>
      <t xml:space="preserve"> (서명또는 날인)</t>
    </r>
    <phoneticPr fontId="4" type="noConversion"/>
  </si>
  <si>
    <t xml:space="preserve"> '        '(인)</t>
    <phoneticPr fontId="4" type="noConversion"/>
  </si>
  <si>
    <t>작성일 :    2026  .  09    .        .</t>
    <phoneticPr fontId="4" type="noConversion"/>
  </si>
  <si>
    <r>
      <t xml:space="preserve"> </t>
    </r>
    <r>
      <rPr>
        <b/>
        <u/>
        <sz val="10"/>
        <color indexed="62"/>
        <rFont val="굴림"/>
        <family val="3"/>
        <charset val="129"/>
      </rPr>
      <t xml:space="preserve"> 2026. 09 . 01 .  ~</t>
    </r>
    <phoneticPr fontId="4" type="noConversion"/>
  </si>
  <si>
    <r>
      <t xml:space="preserve"> </t>
    </r>
    <r>
      <rPr>
        <b/>
        <u/>
        <sz val="10"/>
        <color indexed="62"/>
        <rFont val="굴림"/>
        <family val="3"/>
        <charset val="129"/>
      </rPr>
      <t xml:space="preserve"> 2026 . 09  . 30  .  (1개월)</t>
    </r>
    <phoneticPr fontId="4" type="noConversion"/>
  </si>
  <si>
    <r>
      <t xml:space="preserve"> </t>
    </r>
    <r>
      <rPr>
        <b/>
        <u/>
        <sz val="10"/>
        <color indexed="62"/>
        <rFont val="굴림"/>
        <family val="3"/>
        <charset val="129"/>
      </rPr>
      <t xml:space="preserve"> 2026. 10 . 01 .  ~</t>
    </r>
    <phoneticPr fontId="4" type="noConversion"/>
  </si>
  <si>
    <r>
      <t xml:space="preserve"> </t>
    </r>
    <r>
      <rPr>
        <b/>
        <u/>
        <sz val="10"/>
        <color indexed="62"/>
        <rFont val="굴림"/>
        <family val="3"/>
        <charset val="129"/>
      </rPr>
      <t xml:space="preserve"> 2026 . 10  . 31  .  (1개월)</t>
    </r>
    <phoneticPr fontId="4" type="noConversion"/>
  </si>
  <si>
    <r>
      <rPr>
        <sz val="10"/>
        <color theme="1"/>
        <rFont val="굴림"/>
        <family val="3"/>
        <charset val="129"/>
      </rPr>
      <t xml:space="preserve">동의한다.  </t>
    </r>
    <r>
      <rPr>
        <b/>
        <sz val="10"/>
        <color rgb="FFFF0000"/>
        <rFont val="굴림"/>
        <family val="3"/>
        <charset val="129"/>
      </rPr>
      <t xml:space="preserve">                                                                                                        </t>
    </r>
    <r>
      <rPr>
        <b/>
        <u/>
        <sz val="10"/>
        <color rgb="FFFF0000"/>
        <rFont val="굴림"/>
        <family val="3"/>
        <charset val="129"/>
      </rPr>
      <t xml:space="preserve">동의자                    (인) </t>
    </r>
    <phoneticPr fontId="3" type="noConversion"/>
  </si>
  <si>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sz val="10"/>
        <color indexed="10"/>
        <rFont val="굴림"/>
        <family val="3"/>
        <charset val="129"/>
      </rPr>
      <t>동의자 성명 :                    (인)</t>
    </r>
    <phoneticPr fontId="4" type="noConversion"/>
  </si>
  <si>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sz val="10"/>
        <color indexed="10"/>
        <rFont val="굴림"/>
        <family val="3"/>
        <charset val="129"/>
      </rPr>
      <t xml:space="preserve">            개</t>
    </r>
    <r>
      <rPr>
        <u/>
        <sz val="10"/>
        <color indexed="10"/>
        <rFont val="굴림"/>
        <family val="3"/>
        <charset val="129"/>
      </rPr>
      <t xml:space="preserve">인정보제공 동의자  성명 :              </t>
    </r>
    <r>
      <rPr>
        <u/>
        <sz val="10"/>
        <rFont val="굴림"/>
        <family val="3"/>
        <charset val="129"/>
      </rPr>
      <t xml:space="preserve">    </t>
    </r>
    <r>
      <rPr>
        <u/>
        <sz val="10"/>
        <color indexed="10"/>
        <rFont val="굴림"/>
        <family val="3"/>
        <charset val="129"/>
      </rPr>
      <t xml:space="preserve">             (인) 
</t>
    </r>
    <r>
      <rPr>
        <sz val="10"/>
        <color indexed="18"/>
        <rFont val="굴림"/>
        <family val="3"/>
        <charset val="129"/>
      </rPr>
      <t xml:space="preserve">5. "을"은 "갑"의 타 현장에서 자발적사직/계약기간 만료 되었음을 확인하며  본 계약 이후 근로관계가 새로이 시작되는 것에 이의없이 
    동의합니다 (* 현장 최초출역일에만 작성)                                       </t>
    </r>
    <r>
      <rPr>
        <sz val="10"/>
        <color indexed="10"/>
        <rFont val="굴림"/>
        <family val="3"/>
        <charset val="129"/>
      </rPr>
      <t xml:space="preserve">동의자 성명 : </t>
    </r>
    <r>
      <rPr>
        <b/>
        <u/>
        <sz val="10"/>
        <color indexed="10"/>
        <rFont val="굴림"/>
        <family val="3"/>
        <charset val="129"/>
      </rPr>
      <t xml:space="preserve">                              (인)</t>
    </r>
    <phoneticPr fontId="4" type="noConversion"/>
  </si>
  <si>
    <r>
      <t xml:space="preserve">2. 상기 안전보호구 수령확인 및 근로계약/취업규칙 내용을 확인하고 이행함을 동의합니다.        </t>
    </r>
    <r>
      <rPr>
        <b/>
        <sz val="10"/>
        <color rgb="FFFF0000"/>
        <rFont val="굴림"/>
        <family val="3"/>
        <charset val="129"/>
      </rPr>
      <t xml:space="preserve">동의자 성명 :  </t>
    </r>
    <r>
      <rPr>
        <b/>
        <u/>
        <sz val="10"/>
        <color rgb="FFFF0000"/>
        <rFont val="굴림"/>
        <family val="3"/>
        <charset val="129"/>
      </rPr>
      <t xml:space="preserve">                            </t>
    </r>
    <r>
      <rPr>
        <b/>
        <sz val="10"/>
        <color rgb="FFFF0000"/>
        <rFont val="굴림"/>
        <family val="3"/>
        <charset val="129"/>
      </rPr>
      <t>(인)</t>
    </r>
    <phoneticPr fontId="3" type="noConversion"/>
  </si>
  <si>
    <r>
      <t xml:space="preserve"> 상기 근로조건을 확인하였으며, 그외 사항은 현장 취업규칙에 정한바에 따른다.  상기 근로계약서를 정히 교부받았음</t>
    </r>
    <r>
      <rPr>
        <b/>
        <u/>
        <sz val="10"/>
        <color indexed="10"/>
        <rFont val="굴림"/>
        <family val="3"/>
        <charset val="129"/>
      </rPr>
      <t xml:space="preserve">                            (인)</t>
    </r>
    <phoneticPr fontId="4" type="noConversion"/>
  </si>
  <si>
    <t xml:space="preserve">                                '(인)</t>
    <phoneticPr fontId="4" type="noConversion"/>
  </si>
  <si>
    <r>
      <rPr>
        <sz val="10"/>
        <rFont val="굴림"/>
        <family val="3"/>
        <charset val="129"/>
      </rPr>
      <t xml:space="preserve">                                              </t>
    </r>
    <r>
      <rPr>
        <sz val="10"/>
        <color rgb="FFFF0000"/>
        <rFont val="굴림"/>
        <family val="3"/>
        <charset val="129"/>
      </rPr>
      <t xml:space="preserve">              </t>
    </r>
    <r>
      <rPr>
        <sz val="10"/>
        <color indexed="55"/>
        <rFont val="굴림"/>
        <family val="3"/>
        <charset val="129"/>
      </rPr>
      <t xml:space="preserve"> (서명또는 날인)</t>
    </r>
    <phoneticPr fontId="4" type="noConversion"/>
  </si>
  <si>
    <t>작성일 :    2026  .  10     .        .</t>
    <phoneticPr fontId="4" type="noConversion"/>
  </si>
  <si>
    <r>
      <t xml:space="preserve">    연장 2.5시간 0.5공수)로 산정. 포괄일당 및  임금정책 변경시 시간급으로 산정하는데에 동의한다 </t>
    </r>
    <r>
      <rPr>
        <b/>
        <u/>
        <sz val="10"/>
        <color indexed="30"/>
        <rFont val="굴림"/>
        <family val="3"/>
        <charset val="129"/>
      </rPr>
      <t xml:space="preserve">:  </t>
    </r>
    <r>
      <rPr>
        <b/>
        <u/>
        <sz val="10"/>
        <color indexed="10"/>
        <rFont val="굴림"/>
        <family val="3"/>
        <charset val="129"/>
      </rPr>
      <t xml:space="preserve">동의자                      (인)  </t>
    </r>
    <phoneticPr fontId="4" type="noConversion"/>
  </si>
  <si>
    <r>
      <rPr>
        <sz val="10"/>
        <color theme="1"/>
        <rFont val="굴림"/>
        <family val="3"/>
        <charset val="129"/>
      </rPr>
      <t xml:space="preserve">동의한다.  </t>
    </r>
    <r>
      <rPr>
        <b/>
        <sz val="10"/>
        <color rgb="FFFF0000"/>
        <rFont val="굴림"/>
        <family val="3"/>
        <charset val="129"/>
      </rPr>
      <t xml:space="preserve">                                                                                                        </t>
    </r>
    <r>
      <rPr>
        <b/>
        <u/>
        <sz val="10"/>
        <color rgb="FFFF0000"/>
        <rFont val="굴림"/>
        <family val="3"/>
        <charset val="129"/>
      </rPr>
      <t xml:space="preserve">동의자          </t>
    </r>
    <r>
      <rPr>
        <b/>
        <u/>
        <sz val="10"/>
        <rFont val="굴림"/>
        <family val="3"/>
        <charset val="129"/>
      </rPr>
      <t xml:space="preserve">      </t>
    </r>
    <r>
      <rPr>
        <b/>
        <u/>
        <sz val="10"/>
        <color rgb="FFFF0000"/>
        <rFont val="굴림"/>
        <family val="3"/>
        <charset val="129"/>
      </rPr>
      <t xml:space="preserve">       (인) </t>
    </r>
    <phoneticPr fontId="3" type="noConversion"/>
  </si>
  <si>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sz val="10"/>
        <color indexed="10"/>
        <rFont val="굴림"/>
        <family val="3"/>
        <charset val="129"/>
      </rPr>
      <t xml:space="preserve">            개</t>
    </r>
    <r>
      <rPr>
        <u/>
        <sz val="10"/>
        <color indexed="10"/>
        <rFont val="굴림"/>
        <family val="3"/>
        <charset val="129"/>
      </rPr>
      <t xml:space="preserve">인정보제공 동의자  성명 :                            (인) 
</t>
    </r>
    <r>
      <rPr>
        <sz val="10"/>
        <color indexed="18"/>
        <rFont val="굴림"/>
        <family val="3"/>
        <charset val="129"/>
      </rPr>
      <t xml:space="preserve">5. "을"은 "갑"의 타 현장에서 자발적사직/계약기간 만료 되었음을 확인하며  본 계약 이후 근로관계가 새로이 시작되는 것에 이의없이 
    동의합니다 (* 현장 최초출역일에만 작성)                                       </t>
    </r>
    <r>
      <rPr>
        <sz val="10"/>
        <color indexed="10"/>
        <rFont val="굴림"/>
        <family val="3"/>
        <charset val="129"/>
      </rPr>
      <t xml:space="preserve">동의자 성명 : </t>
    </r>
    <r>
      <rPr>
        <b/>
        <u/>
        <sz val="10"/>
        <color indexed="10"/>
        <rFont val="굴림"/>
        <family val="3"/>
        <charset val="129"/>
      </rPr>
      <t xml:space="preserve">                            (인)</t>
    </r>
    <phoneticPr fontId="4" type="noConversion"/>
  </si>
  <si>
    <t>작성일 :    2026  .  11     .        .</t>
    <phoneticPr fontId="4" type="noConversion"/>
  </si>
  <si>
    <t xml:space="preserve">                '(인)</t>
    <phoneticPr fontId="4" type="noConversion"/>
  </si>
  <si>
    <r>
      <t xml:space="preserve">                                                           </t>
    </r>
    <r>
      <rPr>
        <sz val="10"/>
        <color indexed="55"/>
        <rFont val="굴림"/>
        <family val="3"/>
        <charset val="129"/>
      </rPr>
      <t xml:space="preserve"> (서명또는 날인)</t>
    </r>
    <phoneticPr fontId="4" type="noConversion"/>
  </si>
  <si>
    <r>
      <t xml:space="preserve"> </t>
    </r>
    <r>
      <rPr>
        <b/>
        <u/>
        <sz val="10"/>
        <color indexed="62"/>
        <rFont val="굴림"/>
        <family val="3"/>
        <charset val="129"/>
      </rPr>
      <t xml:space="preserve"> 2026. 11 . 01 .  ~</t>
    </r>
    <phoneticPr fontId="4" type="noConversion"/>
  </si>
  <si>
    <r>
      <t xml:space="preserve"> </t>
    </r>
    <r>
      <rPr>
        <b/>
        <u/>
        <sz val="10"/>
        <color indexed="62"/>
        <rFont val="굴림"/>
        <family val="3"/>
        <charset val="129"/>
      </rPr>
      <t xml:space="preserve"> 2026 . 11  . 30  .  (1개월)</t>
    </r>
    <phoneticPr fontId="4" type="noConversion"/>
  </si>
  <si>
    <t>작성일 :    2026  .  12     .        .</t>
    <phoneticPr fontId="4" type="noConversion"/>
  </si>
  <si>
    <t xml:space="preserve">                                                               (서명또는 날인)</t>
    <phoneticPr fontId="4" type="noConversion"/>
  </si>
  <si>
    <r>
      <t xml:space="preserve"> </t>
    </r>
    <r>
      <rPr>
        <b/>
        <u/>
        <sz val="10"/>
        <color indexed="62"/>
        <rFont val="굴림"/>
        <family val="3"/>
        <charset val="129"/>
      </rPr>
      <t xml:space="preserve"> 2026. 12 . 01 .  ~</t>
    </r>
    <phoneticPr fontId="4" type="noConversion"/>
  </si>
  <si>
    <r>
      <t xml:space="preserve"> </t>
    </r>
    <r>
      <rPr>
        <b/>
        <u/>
        <sz val="10"/>
        <color indexed="62"/>
        <rFont val="굴림"/>
        <family val="3"/>
        <charset val="129"/>
      </rPr>
      <t xml:space="preserve"> 2026 . 12  . 31  .  (1개월)</t>
    </r>
    <phoneticPr fontId="4" type="noConversion"/>
  </si>
  <si>
    <t>2026년 일용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</si>
</sst>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quot;₩&quot;* #,##0_-;_-&quot;₩&quot;* &quot;-&quot;_-;_-@_-"/>
    <numFmt numFmtId="41" formatCode="_-* #,##0_-;\-* #,##0_-;_-* &quot;-&quot;_-;_-@_-"/>
    <numFmt numFmtId="176" formatCode="&quot;₩&quot;#,##0_);[Red]\(&quot;₩&quot;#,##0\)"/>
    <numFmt numFmtId="177" formatCode="_-* #,##0.00_-;\-* #,##0.00_-;_-* &quot;-&quot;_-;_-@_-"/>
    <numFmt numFmtId="178" formatCode="0.00_ "/>
    <numFmt numFmtId="179" formatCode="&quot;₩&quot;#,##0"/>
    <numFmt numFmtId="180" formatCode="&quot;₩&quot;#,##0.00_);[Red]\(&quot;₩&quot;#,##0.00\)"/>
    <numFmt numFmtId="181" formatCode="0_ "/>
  </numFmts>
  <fonts count="54">
    <font>
      <sz val="11"/>
      <color theme="1"/>
      <name val="맑은 고딕"/>
      <family val="2"/>
      <charset val="129"/>
      <scheme val="minor"/>
    </font>
    <font>
      <sz val="11"/>
      <name val="돋움"/>
      <family val="3"/>
      <charset val="129"/>
    </font>
    <font>
      <b/>
      <sz val="10"/>
      <name val="굴림체"/>
      <family val="3"/>
      <charset val="129"/>
    </font>
    <font>
      <sz val="8"/>
      <name val="맑은 고딕"/>
      <family val="2"/>
      <charset val="129"/>
      <scheme val="minor"/>
    </font>
    <font>
      <sz val="8"/>
      <name val="돋움"/>
      <family val="3"/>
      <charset val="129"/>
    </font>
    <font>
      <sz val="10"/>
      <name val="굴림체"/>
      <family val="3"/>
      <charset val="129"/>
    </font>
    <font>
      <b/>
      <sz val="16"/>
      <name val="맑은 고딕"/>
      <family val="3"/>
      <charset val="129"/>
      <scheme val="major"/>
    </font>
    <font>
      <sz val="8"/>
      <name val="맑은 고딕"/>
      <family val="3"/>
      <charset val="129"/>
    </font>
    <font>
      <sz val="26"/>
      <color theme="1"/>
      <name val="HY헤드라인M"/>
      <family val="1"/>
      <charset val="129"/>
    </font>
    <font>
      <sz val="16"/>
      <name val="HY울릉도M"/>
      <family val="1"/>
      <charset val="129"/>
    </font>
    <font>
      <b/>
      <sz val="16"/>
      <color theme="5" tint="-0.249977111117893"/>
      <name val="맑은 고딕"/>
      <family val="3"/>
      <charset val="129"/>
      <scheme val="major"/>
    </font>
    <font>
      <b/>
      <u/>
      <sz val="10.3"/>
      <name val="굴림"/>
      <family val="3"/>
      <charset val="129"/>
    </font>
    <font>
      <sz val="10.3"/>
      <name val="굴림"/>
      <family val="3"/>
      <charset val="129"/>
    </font>
    <font>
      <sz val="11"/>
      <color theme="1"/>
      <name val="굴림"/>
      <family val="3"/>
      <charset val="129"/>
    </font>
    <font>
      <b/>
      <sz val="11"/>
      <name val="맑은 고딕"/>
      <family val="3"/>
      <charset val="129"/>
      <scheme val="major"/>
    </font>
    <font>
      <b/>
      <sz val="11"/>
      <color theme="1"/>
      <name val="맑은 고딕"/>
      <family val="3"/>
      <charset val="129"/>
      <scheme val="major"/>
    </font>
    <font>
      <b/>
      <sz val="10.3"/>
      <name val="굴림"/>
      <family val="3"/>
      <charset val="129"/>
    </font>
    <font>
      <b/>
      <sz val="11"/>
      <name val="돋움"/>
      <family val="3"/>
      <charset val="129"/>
    </font>
    <font>
      <b/>
      <sz val="9"/>
      <name val="굴림"/>
      <family val="3"/>
      <charset val="129"/>
    </font>
    <font>
      <sz val="11"/>
      <color theme="1"/>
      <name val="맑은 고딕"/>
      <family val="3"/>
      <charset val="129"/>
      <scheme val="major"/>
    </font>
    <font>
      <b/>
      <sz val="10"/>
      <name val="굴림"/>
      <family val="3"/>
      <charset val="129"/>
    </font>
    <font>
      <sz val="10.5"/>
      <name val="맑은 고딕"/>
      <family val="3"/>
      <charset val="129"/>
      <scheme val="minor"/>
    </font>
    <font>
      <sz val="10"/>
      <name val="굴림"/>
      <family val="3"/>
      <charset val="129"/>
    </font>
    <font>
      <sz val="10"/>
      <color indexed="30"/>
      <name val="굴림"/>
      <family val="3"/>
      <charset val="129"/>
    </font>
    <font>
      <b/>
      <sz val="11"/>
      <color rgb="FFFF0000"/>
      <name val="돋움"/>
      <family val="3"/>
      <charset val="129"/>
    </font>
    <font>
      <b/>
      <sz val="10"/>
      <color rgb="FFFF0000"/>
      <name val="굴림"/>
      <family val="3"/>
      <charset val="129"/>
    </font>
    <font>
      <u/>
      <sz val="10"/>
      <name val="굴림"/>
      <family val="3"/>
      <charset val="129"/>
    </font>
    <font>
      <b/>
      <sz val="10"/>
      <color indexed="10"/>
      <name val="굴림"/>
      <family val="3"/>
      <charset val="129"/>
    </font>
    <font>
      <b/>
      <sz val="10"/>
      <color theme="1"/>
      <name val="맑은 고딕"/>
      <family val="3"/>
      <charset val="129"/>
      <scheme val="major"/>
    </font>
    <font>
      <b/>
      <sz val="11"/>
      <color rgb="FF0070C0"/>
      <name val="돋움"/>
      <family val="3"/>
      <charset val="129"/>
    </font>
    <font>
      <b/>
      <u/>
      <sz val="10"/>
      <color indexed="30"/>
      <name val="굴림"/>
      <family val="3"/>
      <charset val="129"/>
    </font>
    <font>
      <b/>
      <u/>
      <sz val="10"/>
      <color indexed="10"/>
      <name val="굴림"/>
      <family val="3"/>
      <charset val="129"/>
    </font>
    <font>
      <b/>
      <sz val="11"/>
      <color rgb="FF0070C0"/>
      <name val="HY강B"/>
      <family val="1"/>
      <charset val="129"/>
    </font>
    <font>
      <sz val="10"/>
      <color theme="1"/>
      <name val="굴림"/>
      <family val="3"/>
      <charset val="129"/>
    </font>
    <font>
      <sz val="10"/>
      <color rgb="FFFF0000"/>
      <name val="맑은 고딕"/>
      <family val="3"/>
      <charset val="129"/>
      <scheme val="minor"/>
    </font>
    <font>
      <sz val="10"/>
      <color indexed="10"/>
      <name val="굴림"/>
      <family val="3"/>
      <charset val="129"/>
    </font>
    <font>
      <u/>
      <sz val="10"/>
      <color indexed="10"/>
      <name val="굴림"/>
      <family val="3"/>
      <charset val="129"/>
    </font>
    <font>
      <sz val="10"/>
      <color indexed="18"/>
      <name val="굴림"/>
      <family val="3"/>
      <charset val="129"/>
    </font>
    <font>
      <b/>
      <sz val="10"/>
      <color rgb="FF0070C0"/>
      <name val="굴림"/>
      <family val="3"/>
      <charset val="129"/>
    </font>
    <font>
      <sz val="10"/>
      <color theme="0"/>
      <name val="굴림"/>
      <family val="3"/>
      <charset val="129"/>
    </font>
    <font>
      <sz val="10"/>
      <color rgb="FFFF0000"/>
      <name val="굴림"/>
      <family val="3"/>
      <charset val="129"/>
    </font>
    <font>
      <sz val="10"/>
      <color indexed="55"/>
      <name val="굴림"/>
      <family val="3"/>
      <charset val="129"/>
    </font>
    <font>
      <sz val="10"/>
      <color theme="1"/>
      <name val="굴림체"/>
      <family val="3"/>
      <charset val="129"/>
    </font>
    <font>
      <b/>
      <sz val="9"/>
      <color indexed="81"/>
      <name val="돋움"/>
      <family val="3"/>
      <charset val="129"/>
    </font>
    <font>
      <b/>
      <sz val="9"/>
      <color indexed="81"/>
      <name val="Tahoma"/>
      <family val="2"/>
    </font>
    <font>
      <b/>
      <u/>
      <sz val="9"/>
      <color indexed="81"/>
      <name val="돋움"/>
      <family val="3"/>
      <charset val="129"/>
    </font>
    <font>
      <sz val="9"/>
      <color indexed="81"/>
      <name val="돋움"/>
      <family val="3"/>
      <charset val="129"/>
    </font>
    <font>
      <sz val="9"/>
      <color indexed="81"/>
      <name val="Tahoma"/>
      <family val="2"/>
    </font>
    <font>
      <b/>
      <u/>
      <sz val="10"/>
      <color rgb="FFFF0000"/>
      <name val="굴림"/>
      <family val="3"/>
      <charset val="129"/>
    </font>
    <font>
      <sz val="8"/>
      <name val="굴림"/>
      <family val="3"/>
      <charset val="129"/>
    </font>
    <font>
      <b/>
      <u/>
      <sz val="10"/>
      <name val="굴림"/>
      <family val="3"/>
      <charset val="129"/>
    </font>
    <font>
      <b/>
      <u/>
      <sz val="10"/>
      <color indexed="62"/>
      <name val="굴림"/>
      <family val="3"/>
      <charset val="129"/>
    </font>
    <font>
      <sz val="10"/>
      <color theme="2" tint="-9.9978637043366805E-2"/>
      <name val="굴림"/>
      <family val="3"/>
      <charset val="129"/>
    </font>
    <font>
      <u/>
      <sz val="10"/>
      <color rgb="FFFF0000"/>
      <name val="굴림"/>
      <family val="3"/>
      <charset val="129"/>
    </font>
  </fonts>
  <fills count="8">
    <fill>
      <patternFill patternType="none"/>
    </fill>
    <fill>
      <patternFill patternType="gray125"/>
    </fill>
    <fill>
      <patternFill patternType="solid">
        <fgColor rgb="FFFFFF99"/>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s>
  <borders count="6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dashed">
        <color indexed="64"/>
      </bottom>
      <diagonal/>
    </border>
    <border>
      <left/>
      <right/>
      <top style="thin">
        <color indexed="64"/>
      </top>
      <bottom style="dashed">
        <color indexed="64"/>
      </bottom>
      <diagonal/>
    </border>
    <border>
      <left/>
      <right style="medium">
        <color indexed="64"/>
      </right>
      <top style="thin">
        <color indexed="64"/>
      </top>
      <bottom style="dashed">
        <color indexed="64"/>
      </bottom>
      <diagonal/>
    </border>
    <border>
      <left style="medium">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style="medium">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s>
  <cellStyleXfs count="7">
    <xf numFmtId="0" fontId="0" fillId="0" borderId="0">
      <alignment vertical="center"/>
    </xf>
    <xf numFmtId="41" fontId="1" fillId="0" borderId="0" applyFont="0" applyFill="0" applyBorder="0" applyAlignment="0" applyProtection="0">
      <alignment vertical="center"/>
    </xf>
    <xf numFmtId="0" fontId="1" fillId="0" borderId="0"/>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cellStyleXfs>
  <cellXfs count="252">
    <xf numFmtId="0" fontId="0" fillId="0" borderId="0" xfId="0">
      <alignment vertical="center"/>
    </xf>
    <xf numFmtId="0" fontId="5" fillId="0" borderId="0" xfId="2" applyFont="1" applyAlignment="1">
      <alignment vertical="center"/>
    </xf>
    <xf numFmtId="0" fontId="1" fillId="0" borderId="0" xfId="3">
      <alignment vertical="center"/>
    </xf>
    <xf numFmtId="41" fontId="1" fillId="0" borderId="0" xfId="1">
      <alignment vertical="center"/>
    </xf>
    <xf numFmtId="0" fontId="9" fillId="0" borderId="0" xfId="3" applyFont="1">
      <alignment vertical="center"/>
    </xf>
    <xf numFmtId="0" fontId="13" fillId="0" borderId="0" xfId="3" applyFont="1">
      <alignment vertical="center"/>
    </xf>
    <xf numFmtId="0" fontId="14" fillId="0" borderId="0" xfId="3" applyFont="1" applyAlignment="1">
      <alignment horizontal="left" vertical="center"/>
    </xf>
    <xf numFmtId="176" fontId="15" fillId="0" borderId="0" xfId="3" applyNumberFormat="1" applyFont="1" applyAlignment="1">
      <alignment horizontal="center" vertical="center"/>
    </xf>
    <xf numFmtId="0" fontId="15" fillId="0" borderId="0" xfId="3" applyFont="1" applyAlignment="1">
      <alignment horizontal="center" vertical="center"/>
    </xf>
    <xf numFmtId="176" fontId="14" fillId="0" borderId="0" xfId="3" applyNumberFormat="1" applyFont="1" applyAlignment="1">
      <alignment horizontal="center" vertical="center"/>
    </xf>
    <xf numFmtId="0" fontId="16" fillId="3" borderId="7" xfId="2" applyFont="1" applyFill="1" applyBorder="1" applyAlignment="1">
      <alignment horizontal="center" vertical="center"/>
    </xf>
    <xf numFmtId="0" fontId="14" fillId="4" borderId="12" xfId="3" applyFont="1" applyFill="1" applyBorder="1" applyAlignment="1">
      <alignment horizontal="center" vertical="center"/>
    </xf>
    <xf numFmtId="176" fontId="15" fillId="5" borderId="13" xfId="3" applyNumberFormat="1" applyFont="1" applyFill="1" applyBorder="1" applyAlignment="1">
      <alignment horizontal="center" vertical="center"/>
    </xf>
    <xf numFmtId="0" fontId="15" fillId="4" borderId="13" xfId="3" applyFont="1" applyFill="1" applyBorder="1" applyAlignment="1">
      <alignment horizontal="center" vertical="center"/>
    </xf>
    <xf numFmtId="0" fontId="14" fillId="5" borderId="13" xfId="3" applyFont="1" applyFill="1" applyBorder="1" applyAlignment="1">
      <alignment horizontal="center" vertical="center"/>
    </xf>
    <xf numFmtId="0" fontId="14" fillId="4" borderId="13" xfId="3" applyFont="1" applyFill="1" applyBorder="1" applyAlignment="1">
      <alignment horizontal="center" vertical="center"/>
    </xf>
    <xf numFmtId="0" fontId="17" fillId="5" borderId="14" xfId="3" applyFont="1" applyFill="1" applyBorder="1" applyAlignment="1">
      <alignment horizontal="center" vertical="center"/>
    </xf>
    <xf numFmtId="0" fontId="18" fillId="3" borderId="15" xfId="2" applyFont="1" applyFill="1" applyBorder="1" applyAlignment="1">
      <alignment horizontal="center" vertical="center" wrapText="1"/>
    </xf>
    <xf numFmtId="0" fontId="19" fillId="0" borderId="0" xfId="3" applyFont="1" applyAlignment="1">
      <alignment horizontal="center" vertical="center"/>
    </xf>
    <xf numFmtId="0" fontId="20" fillId="0" borderId="19" xfId="3" applyFont="1" applyBorder="1" applyAlignment="1">
      <alignment vertical="center" wrapText="1"/>
    </xf>
    <xf numFmtId="0" fontId="17" fillId="3" borderId="24" xfId="3" applyFont="1" applyFill="1" applyBorder="1" applyAlignment="1">
      <alignment horizontal="center" vertical="center"/>
    </xf>
    <xf numFmtId="0" fontId="17" fillId="3" borderId="25" xfId="3" applyFont="1" applyFill="1" applyBorder="1" applyAlignment="1">
      <alignment horizontal="center" vertical="center"/>
    </xf>
    <xf numFmtId="10" fontId="17" fillId="3" borderId="26" xfId="4" applyNumberFormat="1" applyFont="1" applyFill="1" applyBorder="1" applyAlignment="1">
      <alignment horizontal="center" vertical="center"/>
    </xf>
    <xf numFmtId="10" fontId="0" fillId="0" borderId="0" xfId="3" applyNumberFormat="1" applyFont="1">
      <alignment vertical="center"/>
    </xf>
    <xf numFmtId="0" fontId="17" fillId="0" borderId="7" xfId="3" applyFont="1" applyBorder="1" applyAlignment="1">
      <alignment horizontal="center" vertical="center"/>
    </xf>
    <xf numFmtId="0" fontId="24" fillId="0" borderId="16" xfId="3" applyFont="1" applyBorder="1">
      <alignment vertical="center"/>
    </xf>
    <xf numFmtId="9" fontId="1" fillId="0" borderId="16" xfId="3" applyNumberFormat="1" applyBorder="1">
      <alignment vertical="center"/>
    </xf>
    <xf numFmtId="0" fontId="1" fillId="0" borderId="16" xfId="3" applyBorder="1">
      <alignment vertical="center"/>
    </xf>
    <xf numFmtId="177" fontId="0" fillId="0" borderId="16" xfId="5" applyNumberFormat="1" applyFont="1" applyBorder="1">
      <alignment vertical="center"/>
    </xf>
    <xf numFmtId="10" fontId="0" fillId="0" borderId="17" xfId="4" applyNumberFormat="1" applyFont="1" applyFill="1" applyBorder="1">
      <alignment vertical="center"/>
    </xf>
    <xf numFmtId="176" fontId="25" fillId="6" borderId="19" xfId="2" applyNumberFormat="1" applyFont="1" applyFill="1" applyBorder="1" applyAlignment="1">
      <alignment horizontal="center" vertical="center" wrapText="1"/>
    </xf>
    <xf numFmtId="0" fontId="22" fillId="0" borderId="19" xfId="2" applyFont="1" applyBorder="1" applyAlignment="1">
      <alignment vertical="center"/>
    </xf>
    <xf numFmtId="176" fontId="25" fillId="6" borderId="19" xfId="2" applyNumberFormat="1" applyFont="1" applyFill="1" applyBorder="1" applyAlignment="1">
      <alignment horizontal="center" vertical="center"/>
    </xf>
    <xf numFmtId="10" fontId="0" fillId="0" borderId="17" xfId="4" applyNumberFormat="1" applyFont="1" applyBorder="1">
      <alignment vertical="center"/>
    </xf>
    <xf numFmtId="10" fontId="17" fillId="0" borderId="17" xfId="4" applyNumberFormat="1" applyFont="1" applyBorder="1">
      <alignment vertical="center"/>
    </xf>
    <xf numFmtId="0" fontId="0" fillId="0" borderId="16" xfId="3" applyFont="1" applyBorder="1">
      <alignment vertical="center"/>
    </xf>
    <xf numFmtId="0" fontId="17" fillId="0" borderId="30" xfId="3" applyFont="1" applyBorder="1" applyAlignment="1">
      <alignment horizontal="center" vertical="center"/>
    </xf>
    <xf numFmtId="0" fontId="1" fillId="0" borderId="31" xfId="3" applyBorder="1">
      <alignment vertical="center"/>
    </xf>
    <xf numFmtId="178" fontId="24" fillId="0" borderId="31" xfId="3" applyNumberFormat="1" applyFont="1" applyBorder="1">
      <alignment vertical="center"/>
    </xf>
    <xf numFmtId="10" fontId="0" fillId="0" borderId="32" xfId="4" applyNumberFormat="1" applyFont="1" applyBorder="1">
      <alignment vertical="center"/>
    </xf>
    <xf numFmtId="0" fontId="29" fillId="0" borderId="0" xfId="3" applyFont="1">
      <alignment vertical="center"/>
    </xf>
    <xf numFmtId="41" fontId="17" fillId="0" borderId="0" xfId="1" applyFont="1">
      <alignment vertical="center"/>
    </xf>
    <xf numFmtId="41" fontId="29" fillId="0" borderId="0" xfId="1" applyFont="1">
      <alignment vertical="center"/>
    </xf>
    <xf numFmtId="42" fontId="25" fillId="2" borderId="0" xfId="1" applyNumberFormat="1" applyFont="1" applyFill="1" applyBorder="1" applyAlignment="1">
      <alignment vertical="center"/>
    </xf>
    <xf numFmtId="10" fontId="0" fillId="0" borderId="0" xfId="4" applyNumberFormat="1" applyFont="1">
      <alignment vertical="center"/>
    </xf>
    <xf numFmtId="0" fontId="32" fillId="0" borderId="0" xfId="3" applyFont="1">
      <alignment vertical="center"/>
    </xf>
    <xf numFmtId="10" fontId="32" fillId="0" borderId="0" xfId="4" applyNumberFormat="1" applyFont="1">
      <alignment vertical="center"/>
    </xf>
    <xf numFmtId="0" fontId="20" fillId="6" borderId="35" xfId="2" applyFont="1" applyFill="1" applyBorder="1" applyAlignment="1">
      <alignment horizontal="center" vertical="center"/>
    </xf>
    <xf numFmtId="10" fontId="22" fillId="6" borderId="40" xfId="4" applyNumberFormat="1" applyFont="1" applyFill="1" applyBorder="1" applyAlignment="1">
      <alignment horizontal="center" vertical="center"/>
    </xf>
    <xf numFmtId="0" fontId="22" fillId="6" borderId="43" xfId="2" applyFont="1" applyFill="1" applyBorder="1" applyAlignment="1">
      <alignment horizontal="center" vertical="center" wrapText="1"/>
    </xf>
    <xf numFmtId="176" fontId="22" fillId="6" borderId="44" xfId="2" applyNumberFormat="1" applyFont="1" applyFill="1" applyBorder="1" applyAlignment="1">
      <alignment horizontal="center" vertical="center" wrapText="1"/>
    </xf>
    <xf numFmtId="176" fontId="22" fillId="6" borderId="44" xfId="2" applyNumberFormat="1" applyFont="1" applyFill="1" applyBorder="1" applyAlignment="1">
      <alignment horizontal="center" vertical="center"/>
    </xf>
    <xf numFmtId="176" fontId="22" fillId="6" borderId="44" xfId="6" applyNumberFormat="1" applyFont="1" applyFill="1" applyBorder="1" applyAlignment="1">
      <alignment horizontal="center" vertical="center"/>
    </xf>
    <xf numFmtId="41" fontId="32" fillId="0" borderId="0" xfId="1" applyFont="1">
      <alignment vertical="center"/>
    </xf>
    <xf numFmtId="180" fontId="32" fillId="0" borderId="0" xfId="3" applyNumberFormat="1" applyFont="1">
      <alignment vertical="center"/>
    </xf>
    <xf numFmtId="0" fontId="34" fillId="0" borderId="0" xfId="3" applyFont="1" applyAlignment="1">
      <alignment vertical="center" wrapText="1"/>
    </xf>
    <xf numFmtId="41" fontId="34" fillId="0" borderId="0" xfId="1" applyFont="1" applyAlignment="1">
      <alignment vertical="center" wrapText="1"/>
    </xf>
    <xf numFmtId="0" fontId="20" fillId="3" borderId="15" xfId="2" applyFont="1" applyFill="1" applyBorder="1" applyAlignment="1">
      <alignment horizontal="center" vertical="center"/>
    </xf>
    <xf numFmtId="0" fontId="20" fillId="6" borderId="0" xfId="2" applyFont="1" applyFill="1" applyAlignment="1">
      <alignment horizontal="center" vertical="center"/>
    </xf>
    <xf numFmtId="41" fontId="0" fillId="0" borderId="0" xfId="1" applyFont="1" applyBorder="1" applyAlignment="1">
      <alignment horizontal="center" vertical="center"/>
    </xf>
    <xf numFmtId="10" fontId="22" fillId="6" borderId="0" xfId="4" applyNumberFormat="1" applyFont="1" applyFill="1" applyBorder="1" applyAlignment="1">
      <alignment horizontal="center" vertical="center"/>
    </xf>
    <xf numFmtId="9" fontId="1" fillId="0" borderId="0" xfId="1" applyNumberFormat="1" applyBorder="1">
      <alignment vertical="center"/>
    </xf>
    <xf numFmtId="176" fontId="38" fillId="6" borderId="0" xfId="2" applyNumberFormat="1" applyFont="1" applyFill="1" applyAlignment="1">
      <alignment horizontal="center" vertical="center"/>
    </xf>
    <xf numFmtId="176" fontId="38" fillId="6" borderId="0" xfId="6" applyNumberFormat="1" applyFont="1" applyFill="1" applyBorder="1" applyAlignment="1">
      <alignment horizontal="center" vertical="center"/>
    </xf>
    <xf numFmtId="41" fontId="29" fillId="0" borderId="0" xfId="1" applyFont="1" applyBorder="1">
      <alignment vertical="center"/>
    </xf>
    <xf numFmtId="179" fontId="38" fillId="6" borderId="0" xfId="6" applyNumberFormat="1" applyFont="1" applyFill="1" applyBorder="1" applyAlignment="1">
      <alignment horizontal="center" vertical="center"/>
    </xf>
    <xf numFmtId="176" fontId="25" fillId="6" borderId="0" xfId="2" applyNumberFormat="1" applyFont="1" applyFill="1" applyAlignment="1">
      <alignment horizontal="center" vertical="center"/>
    </xf>
    <xf numFmtId="176" fontId="25" fillId="6" borderId="0" xfId="6" applyNumberFormat="1" applyFont="1" applyFill="1" applyBorder="1" applyAlignment="1">
      <alignment horizontal="center" vertical="center"/>
    </xf>
    <xf numFmtId="41" fontId="24" fillId="0" borderId="0" xfId="1" applyFont="1" applyBorder="1">
      <alignment vertical="center"/>
    </xf>
    <xf numFmtId="179" fontId="25" fillId="6" borderId="0" xfId="6" applyNumberFormat="1" applyFont="1" applyFill="1" applyBorder="1" applyAlignment="1">
      <alignment horizontal="center" vertical="center"/>
    </xf>
    <xf numFmtId="176" fontId="22" fillId="6" borderId="0" xfId="2" applyNumberFormat="1" applyFont="1" applyFill="1" applyAlignment="1">
      <alignment horizontal="center" vertical="center"/>
    </xf>
    <xf numFmtId="176" fontId="22" fillId="6" borderId="0" xfId="6" applyNumberFormat="1" applyFont="1" applyFill="1" applyBorder="1" applyAlignment="1">
      <alignment horizontal="center" vertical="center"/>
    </xf>
    <xf numFmtId="41" fontId="1" fillId="0" borderId="0" xfId="1" applyBorder="1">
      <alignment vertical="center"/>
    </xf>
    <xf numFmtId="179" fontId="22" fillId="6" borderId="0" xfId="6" applyNumberFormat="1" applyFont="1" applyFill="1" applyBorder="1" applyAlignment="1">
      <alignment horizontal="center" vertical="center"/>
    </xf>
    <xf numFmtId="0" fontId="20" fillId="3" borderId="7" xfId="2" applyFont="1" applyFill="1" applyBorder="1" applyAlignment="1">
      <alignment horizontal="center" vertical="center" wrapText="1"/>
    </xf>
    <xf numFmtId="0" fontId="17" fillId="0" borderId="0" xfId="3" applyFont="1">
      <alignment vertical="center"/>
    </xf>
    <xf numFmtId="0" fontId="33" fillId="0" borderId="53" xfId="2" quotePrefix="1" applyFont="1" applyBorder="1" applyAlignment="1">
      <alignment horizontal="center" vertical="center"/>
    </xf>
    <xf numFmtId="0" fontId="33" fillId="0" borderId="56" xfId="2" quotePrefix="1" applyFont="1" applyBorder="1" applyAlignment="1">
      <alignment horizontal="center" vertical="center"/>
    </xf>
    <xf numFmtId="0" fontId="42" fillId="0" borderId="56" xfId="2" applyFont="1" applyBorder="1" applyAlignment="1">
      <alignment horizontal="center" vertical="center"/>
    </xf>
    <xf numFmtId="0" fontId="42" fillId="0" borderId="59" xfId="2" applyFont="1" applyBorder="1" applyAlignment="1">
      <alignment horizontal="center" vertical="center"/>
    </xf>
    <xf numFmtId="41" fontId="0" fillId="0" borderId="0" xfId="1" applyFont="1">
      <alignment vertical="center"/>
    </xf>
    <xf numFmtId="0" fontId="1" fillId="5" borderId="16" xfId="3" applyFill="1" applyBorder="1">
      <alignment vertical="center"/>
    </xf>
    <xf numFmtId="0" fontId="20" fillId="3" borderId="21" xfId="2" applyFont="1" applyFill="1" applyBorder="1" applyAlignment="1">
      <alignment horizontal="center" vertical="center"/>
    </xf>
    <xf numFmtId="0" fontId="22" fillId="0" borderId="28" xfId="2" applyFont="1" applyBorder="1" applyAlignment="1">
      <alignment horizontal="left" vertical="center" wrapText="1"/>
    </xf>
    <xf numFmtId="0" fontId="22" fillId="0" borderId="5" xfId="2" applyFont="1" applyBorder="1" applyAlignment="1">
      <alignment horizontal="left" vertical="center" wrapText="1"/>
    </xf>
    <xf numFmtId="0" fontId="22" fillId="0" borderId="6" xfId="2" applyFont="1" applyBorder="1" applyAlignment="1">
      <alignment horizontal="left" vertical="center" wrapText="1"/>
    </xf>
    <xf numFmtId="0" fontId="49" fillId="0" borderId="16" xfId="2" applyFont="1" applyBorder="1" applyAlignment="1">
      <alignment horizontal="left" vertical="center" wrapText="1"/>
    </xf>
    <xf numFmtId="0" fontId="49" fillId="0" borderId="17" xfId="2" applyFont="1" applyBorder="1" applyAlignment="1">
      <alignment horizontal="left" vertical="center" wrapText="1"/>
    </xf>
    <xf numFmtId="0" fontId="12" fillId="2" borderId="2" xfId="2" applyFont="1" applyFill="1" applyBorder="1" applyAlignment="1">
      <alignment horizontal="center" vertical="center" wrapText="1"/>
    </xf>
    <xf numFmtId="0" fontId="12" fillId="2" borderId="2" xfId="2" applyFont="1" applyFill="1" applyBorder="1" applyAlignment="1">
      <alignment horizontal="center" vertical="center"/>
    </xf>
    <xf numFmtId="0" fontId="52" fillId="0" borderId="16" xfId="2" applyFont="1" applyBorder="1" applyAlignment="1">
      <alignment horizontal="center" vertical="center" wrapText="1"/>
    </xf>
    <xf numFmtId="181" fontId="32" fillId="0" borderId="0" xfId="3" applyNumberFormat="1" applyFont="1">
      <alignment vertical="center"/>
    </xf>
    <xf numFmtId="0" fontId="52" fillId="0" borderId="16" xfId="2" applyFont="1" applyBorder="1" applyAlignment="1">
      <alignment horizontal="center" vertical="center" shrinkToFit="1"/>
    </xf>
    <xf numFmtId="0" fontId="22" fillId="0" borderId="10" xfId="2" applyFont="1" applyBorder="1" applyAlignment="1">
      <alignment horizontal="left" vertical="center" wrapText="1"/>
    </xf>
    <xf numFmtId="0" fontId="52" fillId="0" borderId="17" xfId="2" applyFont="1" applyBorder="1" applyAlignment="1">
      <alignment horizontal="center" vertical="center" wrapText="1"/>
    </xf>
    <xf numFmtId="0" fontId="5" fillId="0" borderId="58" xfId="2" applyFont="1" applyBorder="1" applyAlignment="1">
      <alignment horizontal="center" vertical="center"/>
    </xf>
    <xf numFmtId="0" fontId="5" fillId="0" borderId="59" xfId="2" applyFont="1" applyBorder="1" applyAlignment="1">
      <alignment horizontal="center" vertical="center"/>
    </xf>
    <xf numFmtId="0" fontId="5" fillId="0" borderId="59" xfId="2" quotePrefix="1" applyFont="1" applyBorder="1" applyAlignment="1">
      <alignment horizontal="right" vertical="center"/>
    </xf>
    <xf numFmtId="0" fontId="5" fillId="0" borderId="59" xfId="2" quotePrefix="1" applyFont="1" applyBorder="1" applyAlignment="1">
      <alignment horizontal="center" vertical="center"/>
    </xf>
    <xf numFmtId="0" fontId="5" fillId="0" borderId="60" xfId="2" quotePrefix="1" applyFont="1" applyBorder="1" applyAlignment="1">
      <alignment horizontal="center" vertical="center"/>
    </xf>
    <xf numFmtId="0" fontId="5" fillId="0" borderId="55" xfId="2" applyFont="1" applyBorder="1" applyAlignment="1">
      <alignment horizontal="center" vertical="center"/>
    </xf>
    <xf numFmtId="0" fontId="5" fillId="0" borderId="56" xfId="2" applyFont="1" applyBorder="1" applyAlignment="1">
      <alignment horizontal="center" vertical="center"/>
    </xf>
    <xf numFmtId="0" fontId="5" fillId="0" borderId="56" xfId="2" quotePrefix="1" applyFont="1" applyBorder="1" applyAlignment="1">
      <alignment horizontal="center" vertical="center" shrinkToFit="1"/>
    </xf>
    <xf numFmtId="0" fontId="5" fillId="0" borderId="56" xfId="2" quotePrefix="1" applyFont="1" applyBorder="1" applyAlignment="1">
      <alignment horizontal="center" vertical="center"/>
    </xf>
    <xf numFmtId="0" fontId="5" fillId="0" borderId="57" xfId="2" quotePrefix="1" applyFont="1" applyBorder="1" applyAlignment="1">
      <alignment horizontal="center" vertical="center"/>
    </xf>
    <xf numFmtId="0" fontId="22" fillId="0" borderId="8" xfId="2" applyFont="1" applyBorder="1" applyAlignment="1">
      <alignment horizontal="left" vertical="center"/>
    </xf>
    <xf numFmtId="0" fontId="22" fillId="0" borderId="9" xfId="2" applyFont="1" applyBorder="1" applyAlignment="1">
      <alignment horizontal="left" vertical="center"/>
    </xf>
    <xf numFmtId="0" fontId="22" fillId="0" borderId="11" xfId="2" applyFont="1" applyBorder="1" applyAlignment="1">
      <alignment horizontal="left" vertical="center"/>
    </xf>
    <xf numFmtId="0" fontId="22" fillId="6" borderId="48" xfId="2" applyFont="1" applyFill="1" applyBorder="1" applyAlignment="1">
      <alignment horizontal="center" vertical="center" wrapText="1"/>
    </xf>
    <xf numFmtId="0" fontId="39" fillId="6" borderId="9" xfId="2" applyFont="1" applyFill="1" applyBorder="1" applyAlignment="1">
      <alignment horizontal="center" vertical="center" wrapText="1"/>
    </xf>
    <xf numFmtId="0" fontId="39" fillId="6" borderId="11" xfId="2" applyFont="1" applyFill="1" applyBorder="1" applyAlignment="1">
      <alignment horizontal="center" vertical="center" wrapText="1"/>
    </xf>
    <xf numFmtId="0" fontId="22" fillId="7" borderId="49" xfId="2" applyFont="1" applyFill="1" applyBorder="1" applyAlignment="1">
      <alignment horizontal="center" vertical="center"/>
    </xf>
    <xf numFmtId="0" fontId="22" fillId="7" borderId="50" xfId="2" applyFont="1" applyFill="1" applyBorder="1" applyAlignment="1">
      <alignment horizontal="center" vertical="center"/>
    </xf>
    <xf numFmtId="0" fontId="22" fillId="7" borderId="51" xfId="2" applyFont="1" applyFill="1" applyBorder="1" applyAlignment="1">
      <alignment horizontal="center" vertical="center"/>
    </xf>
    <xf numFmtId="0" fontId="5" fillId="0" borderId="52" xfId="2" applyFont="1" applyBorder="1" applyAlignment="1">
      <alignment horizontal="center" vertical="center"/>
    </xf>
    <xf numFmtId="0" fontId="5" fillId="0" borderId="53" xfId="2" applyFont="1" applyBorder="1" applyAlignment="1">
      <alignment horizontal="center" vertical="center"/>
    </xf>
    <xf numFmtId="0" fontId="5" fillId="0" borderId="53" xfId="2" quotePrefix="1" applyFont="1" applyBorder="1" applyAlignment="1">
      <alignment horizontal="center" vertical="center"/>
    </xf>
    <xf numFmtId="0" fontId="40" fillId="0" borderId="53" xfId="2" applyFont="1" applyBorder="1" applyAlignment="1">
      <alignment horizontal="center" vertical="center"/>
    </xf>
    <xf numFmtId="0" fontId="40" fillId="0" borderId="54" xfId="2" applyFont="1" applyBorder="1" applyAlignment="1">
      <alignment horizontal="center" vertical="center"/>
    </xf>
    <xf numFmtId="0" fontId="20" fillId="3" borderId="15" xfId="2" applyFont="1" applyFill="1" applyBorder="1" applyAlignment="1">
      <alignment horizontal="center" vertical="center" wrapText="1"/>
    </xf>
    <xf numFmtId="0" fontId="20" fillId="3" borderId="21" xfId="2" applyFont="1" applyFill="1" applyBorder="1" applyAlignment="1">
      <alignment horizontal="center" vertical="center" wrapText="1"/>
    </xf>
    <xf numFmtId="0" fontId="20" fillId="3" borderId="27" xfId="2" applyFont="1" applyFill="1" applyBorder="1" applyAlignment="1">
      <alignment horizontal="center" vertical="center" wrapText="1"/>
    </xf>
    <xf numFmtId="0" fontId="22" fillId="0" borderId="18" xfId="2" applyFont="1" applyBorder="1" applyAlignment="1">
      <alignment horizontal="left" vertical="center" wrapText="1"/>
    </xf>
    <xf numFmtId="0" fontId="22" fillId="0" borderId="19" xfId="2" applyFont="1" applyBorder="1" applyAlignment="1">
      <alignment horizontal="left" vertical="center" wrapText="1"/>
    </xf>
    <xf numFmtId="0" fontId="22" fillId="0" borderId="20" xfId="2" applyFont="1" applyBorder="1" applyAlignment="1">
      <alignment horizontal="left" vertical="center" wrapText="1"/>
    </xf>
    <xf numFmtId="0" fontId="22" fillId="0" borderId="22" xfId="2" applyFont="1" applyBorder="1" applyAlignment="1">
      <alignment horizontal="left" vertical="center" wrapText="1"/>
    </xf>
    <xf numFmtId="0" fontId="22" fillId="0" borderId="0" xfId="2" applyFont="1" applyAlignment="1">
      <alignment horizontal="left" vertical="center" wrapText="1"/>
    </xf>
    <xf numFmtId="0" fontId="22" fillId="0" borderId="23" xfId="2" applyFont="1" applyBorder="1" applyAlignment="1">
      <alignment horizontal="left" vertical="center" wrapText="1"/>
    </xf>
    <xf numFmtId="0" fontId="22" fillId="0" borderId="28" xfId="2" applyFont="1" applyBorder="1" applyAlignment="1">
      <alignment horizontal="left" vertical="center" wrapText="1"/>
    </xf>
    <xf numFmtId="0" fontId="22" fillId="0" borderId="5" xfId="2" applyFont="1" applyBorder="1" applyAlignment="1">
      <alignment horizontal="left" vertical="center" wrapText="1"/>
    </xf>
    <xf numFmtId="0" fontId="22" fillId="0" borderId="6" xfId="2" applyFont="1" applyBorder="1" applyAlignment="1">
      <alignment horizontal="left" vertical="center" wrapText="1"/>
    </xf>
    <xf numFmtId="176" fontId="38" fillId="6" borderId="0" xfId="2" applyNumberFormat="1" applyFont="1" applyFill="1" applyAlignment="1">
      <alignment horizontal="center" vertical="center"/>
    </xf>
    <xf numFmtId="176" fontId="25" fillId="6" borderId="0" xfId="2" applyNumberFormat="1" applyFont="1" applyFill="1" applyAlignment="1">
      <alignment horizontal="center" vertical="center"/>
    </xf>
    <xf numFmtId="176" fontId="22" fillId="6" borderId="0" xfId="2" applyNumberFormat="1" applyFont="1" applyFill="1" applyAlignment="1">
      <alignment horizontal="center" vertical="center"/>
    </xf>
    <xf numFmtId="0" fontId="20" fillId="3" borderId="21" xfId="2" applyFont="1" applyFill="1" applyBorder="1" applyAlignment="1">
      <alignment horizontal="center" vertical="center"/>
    </xf>
    <xf numFmtId="0" fontId="33" fillId="0" borderId="18" xfId="2" applyFont="1" applyBorder="1" applyAlignment="1">
      <alignment horizontal="left" vertical="center" wrapText="1"/>
    </xf>
    <xf numFmtId="0" fontId="33" fillId="0" borderId="19" xfId="2" applyFont="1" applyBorder="1" applyAlignment="1">
      <alignment horizontal="left" vertical="center" wrapText="1"/>
    </xf>
    <xf numFmtId="0" fontId="33" fillId="0" borderId="20" xfId="2" applyFont="1" applyBorder="1" applyAlignment="1">
      <alignment horizontal="left" vertical="center" wrapText="1"/>
    </xf>
    <xf numFmtId="0" fontId="33" fillId="0" borderId="22" xfId="2" applyFont="1" applyBorder="1" applyAlignment="1">
      <alignment horizontal="left" vertical="center" wrapText="1"/>
    </xf>
    <xf numFmtId="0" fontId="33" fillId="0" borderId="0" xfId="2" applyFont="1" applyAlignment="1">
      <alignment horizontal="left" vertical="center" wrapText="1"/>
    </xf>
    <xf numFmtId="0" fontId="33" fillId="0" borderId="23" xfId="2" applyFont="1" applyBorder="1" applyAlignment="1">
      <alignment horizontal="left" vertical="center" wrapText="1"/>
    </xf>
    <xf numFmtId="0" fontId="20" fillId="3" borderId="15" xfId="2" applyFont="1" applyFill="1" applyBorder="1" applyAlignment="1">
      <alignment horizontal="center" vertical="center"/>
    </xf>
    <xf numFmtId="0" fontId="20" fillId="3" borderId="27" xfId="2" applyFont="1" applyFill="1" applyBorder="1" applyAlignment="1">
      <alignment horizontal="center" vertical="center"/>
    </xf>
    <xf numFmtId="0" fontId="34" fillId="0" borderId="0" xfId="3" applyFont="1" applyAlignment="1">
      <alignment horizontal="left" vertical="center" wrapText="1"/>
    </xf>
    <xf numFmtId="0" fontId="20" fillId="6" borderId="0" xfId="2" applyFont="1" applyFill="1" applyAlignment="1">
      <alignment horizontal="center" vertical="center"/>
    </xf>
    <xf numFmtId="10" fontId="22" fillId="6" borderId="0" xfId="4" applyNumberFormat="1" applyFont="1" applyFill="1" applyBorder="1" applyAlignment="1">
      <alignment horizontal="center" vertical="center"/>
    </xf>
    <xf numFmtId="0" fontId="20" fillId="6" borderId="33" xfId="2" applyFont="1" applyFill="1" applyBorder="1" applyAlignment="1">
      <alignment horizontal="center" vertical="center" wrapText="1"/>
    </xf>
    <xf numFmtId="0" fontId="20" fillId="6" borderId="34" xfId="2" applyFont="1" applyFill="1" applyBorder="1" applyAlignment="1">
      <alignment horizontal="center" vertical="center" wrapText="1"/>
    </xf>
    <xf numFmtId="0" fontId="20" fillId="6" borderId="36" xfId="2" applyFont="1" applyFill="1" applyBorder="1" applyAlignment="1">
      <alignment horizontal="center" vertical="center"/>
    </xf>
    <xf numFmtId="0" fontId="20" fillId="6" borderId="34" xfId="2" applyFont="1" applyFill="1" applyBorder="1" applyAlignment="1">
      <alignment horizontal="center" vertical="center"/>
    </xf>
    <xf numFmtId="0" fontId="20" fillId="6" borderId="37" xfId="2" applyFont="1" applyFill="1" applyBorder="1" applyAlignment="1">
      <alignment horizontal="center" vertical="center"/>
    </xf>
    <xf numFmtId="0" fontId="22" fillId="6" borderId="38" xfId="2" applyFont="1" applyFill="1" applyBorder="1" applyAlignment="1">
      <alignment horizontal="center" vertical="center" wrapText="1"/>
    </xf>
    <xf numFmtId="0" fontId="22" fillId="6" borderId="39" xfId="2" applyFont="1" applyFill="1" applyBorder="1" applyAlignment="1">
      <alignment horizontal="center" vertical="center" wrapText="1"/>
    </xf>
    <xf numFmtId="10" fontId="22" fillId="6" borderId="41" xfId="4" applyNumberFormat="1" applyFont="1" applyFill="1" applyBorder="1" applyAlignment="1">
      <alignment horizontal="center" vertical="center"/>
    </xf>
    <xf numFmtId="10" fontId="22" fillId="6" borderId="39" xfId="4" applyNumberFormat="1" applyFont="1" applyFill="1" applyBorder="1" applyAlignment="1">
      <alignment horizontal="center" vertical="center"/>
    </xf>
    <xf numFmtId="10" fontId="22" fillId="6" borderId="42" xfId="4" applyNumberFormat="1" applyFont="1" applyFill="1" applyBorder="1" applyAlignment="1">
      <alignment horizontal="center" vertical="center"/>
    </xf>
    <xf numFmtId="176" fontId="22" fillId="6" borderId="45" xfId="2" applyNumberFormat="1" applyFont="1" applyFill="1" applyBorder="1" applyAlignment="1">
      <alignment horizontal="center" vertical="center"/>
    </xf>
    <xf numFmtId="176" fontId="22" fillId="6" borderId="46" xfId="2" applyNumberFormat="1" applyFont="1" applyFill="1" applyBorder="1" applyAlignment="1">
      <alignment horizontal="center" vertical="center"/>
    </xf>
    <xf numFmtId="179" fontId="22" fillId="6" borderId="45" xfId="6" applyNumberFormat="1" applyFont="1" applyFill="1" applyBorder="1" applyAlignment="1">
      <alignment horizontal="center" vertical="center"/>
    </xf>
    <xf numFmtId="179" fontId="22" fillId="6" borderId="47" xfId="6" applyNumberFormat="1" applyFont="1" applyFill="1" applyBorder="1" applyAlignment="1">
      <alignment horizontal="center" vertical="center"/>
    </xf>
    <xf numFmtId="41" fontId="0" fillId="0" borderId="29" xfId="1" applyFont="1" applyBorder="1" applyAlignment="1">
      <alignment horizontal="center" vertical="center"/>
    </xf>
    <xf numFmtId="41" fontId="1" fillId="0" borderId="0" xfId="1" applyAlignment="1">
      <alignment horizontal="center" vertical="center"/>
    </xf>
    <xf numFmtId="0" fontId="15" fillId="0" borderId="0" xfId="3" applyFont="1" applyAlignment="1">
      <alignment horizontal="center" vertical="center"/>
    </xf>
    <xf numFmtId="41" fontId="28" fillId="0" borderId="0" xfId="1" applyFont="1" applyFill="1" applyBorder="1" applyAlignment="1">
      <alignment horizontal="center" vertical="center"/>
    </xf>
    <xf numFmtId="0" fontId="22" fillId="0" borderId="22" xfId="2" applyFont="1" applyBorder="1" applyAlignment="1">
      <alignment horizontal="left" vertical="center"/>
    </xf>
    <xf numFmtId="0" fontId="22" fillId="0" borderId="0" xfId="2" applyFont="1" applyAlignment="1">
      <alignment horizontal="left" vertical="center"/>
    </xf>
    <xf numFmtId="176" fontId="22" fillId="6" borderId="0" xfId="1" applyNumberFormat="1" applyFont="1" applyFill="1" applyBorder="1" applyAlignment="1">
      <alignment horizontal="left" vertical="center" wrapText="1"/>
    </xf>
    <xf numFmtId="176" fontId="22" fillId="6" borderId="23" xfId="1" applyNumberFormat="1" applyFont="1" applyFill="1" applyBorder="1" applyAlignment="1">
      <alignment horizontal="left" vertical="center" wrapText="1"/>
    </xf>
    <xf numFmtId="181" fontId="1" fillId="0" borderId="29" xfId="3" applyNumberFormat="1" applyBorder="1" applyAlignment="1">
      <alignment horizontal="center" vertical="center"/>
    </xf>
    <xf numFmtId="181" fontId="1" fillId="0" borderId="0" xfId="3" applyNumberFormat="1" applyAlignment="1">
      <alignment horizontal="center" vertical="center"/>
    </xf>
    <xf numFmtId="0" fontId="12" fillId="0" borderId="16" xfId="2" applyFont="1" applyBorder="1" applyAlignment="1">
      <alignment horizontal="center" vertical="center"/>
    </xf>
    <xf numFmtId="0" fontId="12" fillId="0" borderId="17" xfId="2" applyFont="1" applyBorder="1" applyAlignment="1">
      <alignment horizontal="center" vertical="center"/>
    </xf>
    <xf numFmtId="0" fontId="22" fillId="0" borderId="18" xfId="2" applyFont="1" applyBorder="1" applyAlignment="1">
      <alignment horizontal="left" vertical="center"/>
    </xf>
    <xf numFmtId="0" fontId="22" fillId="0" borderId="19" xfId="2" applyFont="1" applyBorder="1" applyAlignment="1">
      <alignment horizontal="left" vertical="center"/>
    </xf>
    <xf numFmtId="0" fontId="22" fillId="0" borderId="19" xfId="2" applyFont="1" applyBorder="1" applyAlignment="1">
      <alignment horizontal="center" vertical="center"/>
    </xf>
    <xf numFmtId="0" fontId="22" fillId="0" borderId="20" xfId="2" applyFont="1" applyBorder="1" applyAlignment="1">
      <alignment horizontal="center" vertical="center"/>
    </xf>
    <xf numFmtId="0" fontId="22" fillId="0" borderId="22" xfId="2" applyFont="1" applyBorder="1" applyAlignment="1">
      <alignment horizontal="left" vertical="top" wrapText="1"/>
    </xf>
    <xf numFmtId="0" fontId="22" fillId="0" borderId="0" xfId="2" applyFont="1" applyAlignment="1">
      <alignment horizontal="left" vertical="top" wrapText="1"/>
    </xf>
    <xf numFmtId="0" fontId="22" fillId="0" borderId="23" xfId="2" applyFont="1" applyBorder="1" applyAlignment="1">
      <alignment horizontal="left" vertical="top" wrapText="1"/>
    </xf>
    <xf numFmtId="0" fontId="22" fillId="0" borderId="22" xfId="2" applyFont="1" applyBorder="1" applyAlignment="1">
      <alignment vertical="top" wrapText="1"/>
    </xf>
    <xf numFmtId="0" fontId="22" fillId="0" borderId="0" xfId="2" applyFont="1" applyAlignment="1">
      <alignment vertical="top" wrapText="1"/>
    </xf>
    <xf numFmtId="0" fontId="22" fillId="0" borderId="23" xfId="2" applyFont="1" applyBorder="1" applyAlignment="1">
      <alignment vertical="top" wrapText="1"/>
    </xf>
    <xf numFmtId="0" fontId="20" fillId="6" borderId="18" xfId="2" applyFont="1" applyFill="1" applyBorder="1" applyAlignment="1">
      <alignment horizontal="center" vertical="top" wrapText="1"/>
    </xf>
    <xf numFmtId="0" fontId="50" fillId="6" borderId="19" xfId="2" applyFont="1" applyFill="1" applyBorder="1" applyAlignment="1">
      <alignment horizontal="center" vertical="top" wrapText="1"/>
    </xf>
    <xf numFmtId="0" fontId="20" fillId="6" borderId="19" xfId="2" applyFont="1" applyFill="1" applyBorder="1" applyAlignment="1">
      <alignment horizontal="center" vertical="top" wrapText="1"/>
    </xf>
    <xf numFmtId="0" fontId="21" fillId="0" borderId="19" xfId="3" applyFont="1" applyBorder="1" applyAlignment="1">
      <alignment horizontal="left" vertical="center"/>
    </xf>
    <xf numFmtId="0" fontId="21" fillId="0" borderId="20" xfId="3" applyFont="1" applyBorder="1" applyAlignment="1">
      <alignment horizontal="left" vertical="center"/>
    </xf>
    <xf numFmtId="0" fontId="22" fillId="0" borderId="22" xfId="3" applyFont="1" applyBorder="1" applyAlignment="1">
      <alignment horizontal="left" vertical="center" wrapText="1"/>
    </xf>
    <xf numFmtId="0" fontId="22" fillId="0" borderId="0" xfId="3" applyFont="1" applyAlignment="1">
      <alignment horizontal="left" vertical="center" wrapText="1"/>
    </xf>
    <xf numFmtId="0" fontId="22" fillId="0" borderId="23" xfId="3" applyFont="1" applyBorder="1" applyAlignment="1">
      <alignment horizontal="left" vertical="center" wrapText="1"/>
    </xf>
    <xf numFmtId="0" fontId="22" fillId="0" borderId="28" xfId="3" applyFont="1" applyBorder="1" applyAlignment="1">
      <alignment horizontal="left" vertical="center" wrapText="1"/>
    </xf>
    <xf numFmtId="0" fontId="22" fillId="0" borderId="5" xfId="3" applyFont="1" applyBorder="1" applyAlignment="1">
      <alignment horizontal="left" vertical="center" wrapText="1"/>
    </xf>
    <xf numFmtId="0" fontId="22" fillId="0" borderId="6" xfId="3" applyFont="1" applyBorder="1" applyAlignment="1">
      <alignment horizontal="left" vertical="center" wrapText="1"/>
    </xf>
    <xf numFmtId="0" fontId="48" fillId="0" borderId="28" xfId="2" applyFont="1" applyBorder="1" applyAlignment="1">
      <alignment horizontal="left" vertical="top" wrapText="1"/>
    </xf>
    <xf numFmtId="0" fontId="48" fillId="0" borderId="5" xfId="2" applyFont="1" applyBorder="1" applyAlignment="1">
      <alignment horizontal="left" vertical="top" wrapText="1"/>
    </xf>
    <xf numFmtId="0" fontId="48" fillId="0" borderId="6" xfId="2" applyFont="1" applyBorder="1" applyAlignment="1">
      <alignment horizontal="left" vertical="top" wrapText="1"/>
    </xf>
    <xf numFmtId="0" fontId="2" fillId="0" borderId="0" xfId="2" applyFont="1" applyAlignment="1">
      <alignment horizontal="left" vertical="center" wrapText="1"/>
    </xf>
    <xf numFmtId="0" fontId="6" fillId="0" borderId="0" xfId="3" applyFont="1" applyAlignment="1">
      <alignment horizontal="center" vertical="center"/>
    </xf>
    <xf numFmtId="0" fontId="8" fillId="0" borderId="0" xfId="2" applyFont="1" applyAlignment="1">
      <alignment horizontal="center" vertical="center" shrinkToFit="1"/>
    </xf>
    <xf numFmtId="0" fontId="10" fillId="0" borderId="0" xfId="3" applyFont="1" applyAlignment="1">
      <alignment horizontal="center" vertical="center"/>
    </xf>
    <xf numFmtId="0" fontId="11" fillId="2" borderId="1" xfId="2" applyFont="1" applyFill="1" applyBorder="1" applyAlignment="1">
      <alignment horizontal="center" vertical="center" wrapText="1"/>
    </xf>
    <xf numFmtId="0" fontId="11" fillId="2" borderId="2" xfId="2" applyFont="1" applyFill="1" applyBorder="1" applyAlignment="1">
      <alignment horizontal="center" vertical="center" wrapText="1"/>
    </xf>
    <xf numFmtId="0" fontId="12" fillId="0" borderId="2" xfId="2" applyFont="1" applyBorder="1" applyAlignment="1">
      <alignment horizontal="center" vertical="center" wrapText="1"/>
    </xf>
    <xf numFmtId="0" fontId="12" fillId="0" borderId="3" xfId="2" applyFont="1" applyBorder="1" applyAlignment="1">
      <alignment horizontal="center" vertical="center" wrapText="1"/>
    </xf>
    <xf numFmtId="0" fontId="12" fillId="0" borderId="4" xfId="2" applyFont="1" applyBorder="1" applyAlignment="1">
      <alignment horizontal="left" vertical="center" wrapText="1"/>
    </xf>
    <xf numFmtId="0" fontId="12" fillId="0" borderId="5" xfId="2" applyFont="1" applyBorder="1" applyAlignment="1">
      <alignment horizontal="left" vertical="center" wrapText="1"/>
    </xf>
    <xf numFmtId="0" fontId="12" fillId="0" borderId="6" xfId="2" applyFont="1" applyBorder="1" applyAlignment="1">
      <alignment horizontal="left" vertical="center" wrapText="1"/>
    </xf>
    <xf numFmtId="0" fontId="12" fillId="0" borderId="8" xfId="2" applyFont="1" applyBorder="1" applyAlignment="1">
      <alignment horizontal="center" vertical="center"/>
    </xf>
    <xf numFmtId="0" fontId="12" fillId="0" borderId="9" xfId="2" applyFont="1" applyBorder="1" applyAlignment="1">
      <alignment horizontal="center" vertical="center"/>
    </xf>
    <xf numFmtId="0" fontId="12" fillId="0" borderId="10" xfId="2" applyFont="1" applyBorder="1" applyAlignment="1">
      <alignment horizontal="center" vertical="center"/>
    </xf>
    <xf numFmtId="0" fontId="12" fillId="3" borderId="8" xfId="2" applyFont="1" applyFill="1" applyBorder="1" applyAlignment="1">
      <alignment horizontal="center" vertical="center"/>
    </xf>
    <xf numFmtId="0" fontId="12" fillId="3" borderId="10" xfId="2" applyFont="1" applyFill="1" applyBorder="1" applyAlignment="1">
      <alignment horizontal="center" vertical="center"/>
    </xf>
    <xf numFmtId="0" fontId="12" fillId="0" borderId="8" xfId="2" applyFont="1" applyBorder="1" applyAlignment="1">
      <alignment horizontal="center" vertical="center" shrinkToFit="1"/>
    </xf>
    <xf numFmtId="0" fontId="12" fillId="0" borderId="9" xfId="2" applyFont="1" applyBorder="1" applyAlignment="1">
      <alignment horizontal="center" vertical="center" shrinkToFit="1"/>
    </xf>
    <xf numFmtId="0" fontId="12" fillId="0" borderId="11" xfId="2" applyFont="1" applyBorder="1" applyAlignment="1">
      <alignment horizontal="center" vertical="center" shrinkToFit="1"/>
    </xf>
    <xf numFmtId="0" fontId="12" fillId="3" borderId="16" xfId="2" applyFont="1" applyFill="1" applyBorder="1" applyAlignment="1">
      <alignment horizontal="center" vertical="center"/>
    </xf>
    <xf numFmtId="0" fontId="22" fillId="0" borderId="8" xfId="2" applyFont="1" applyBorder="1" applyAlignment="1">
      <alignment horizontal="center" vertical="center" wrapText="1"/>
    </xf>
    <xf numFmtId="0" fontId="22" fillId="0" borderId="10" xfId="2" applyFont="1" applyBorder="1" applyAlignment="1">
      <alignment horizontal="center" vertical="center" wrapText="1"/>
    </xf>
    <xf numFmtId="0" fontId="52" fillId="0" borderId="8" xfId="2" applyFont="1" applyBorder="1" applyAlignment="1">
      <alignment horizontal="center" vertical="center" wrapText="1"/>
    </xf>
    <xf numFmtId="0" fontId="52" fillId="0" borderId="10" xfId="2" applyFont="1" applyBorder="1" applyAlignment="1">
      <alignment horizontal="center" vertical="center" wrapText="1"/>
    </xf>
    <xf numFmtId="0" fontId="22" fillId="0" borderId="8" xfId="2" applyFont="1" applyBorder="1" applyAlignment="1">
      <alignment horizontal="left" vertical="center" wrapText="1"/>
    </xf>
    <xf numFmtId="0" fontId="22" fillId="0" borderId="9" xfId="2" applyFont="1" applyBorder="1" applyAlignment="1">
      <alignment horizontal="left" vertical="center" wrapText="1"/>
    </xf>
    <xf numFmtId="0" fontId="22" fillId="0" borderId="11" xfId="2" applyFont="1" applyBorder="1" applyAlignment="1">
      <alignment horizontal="left" vertical="center" wrapText="1"/>
    </xf>
    <xf numFmtId="0" fontId="5" fillId="0" borderId="62" xfId="2" quotePrefix="1" applyFont="1" applyBorder="1" applyAlignment="1">
      <alignment horizontal="center" vertical="center"/>
    </xf>
    <xf numFmtId="0" fontId="5" fillId="0" borderId="61" xfId="2" quotePrefix="1" applyFont="1" applyBorder="1" applyAlignment="1">
      <alignment horizontal="center" vertical="center"/>
    </xf>
    <xf numFmtId="0" fontId="22" fillId="0" borderId="53" xfId="2" applyFont="1" applyBorder="1" applyAlignment="1">
      <alignment horizontal="center" vertical="center"/>
    </xf>
    <xf numFmtId="0" fontId="22" fillId="0" borderId="54" xfId="2" applyFont="1" applyBorder="1" applyAlignment="1">
      <alignment horizontal="center" vertical="center"/>
    </xf>
    <xf numFmtId="0" fontId="0" fillId="0" borderId="29" xfId="3" applyFont="1" applyBorder="1" applyAlignment="1">
      <alignment horizontal="center" vertical="center"/>
    </xf>
    <xf numFmtId="0" fontId="1" fillId="0" borderId="0" xfId="3" applyAlignment="1">
      <alignment horizontal="center" vertical="center"/>
    </xf>
    <xf numFmtId="0" fontId="50" fillId="0" borderId="28" xfId="2" applyFont="1" applyBorder="1" applyAlignment="1">
      <alignment horizontal="left" vertical="top" wrapText="1"/>
    </xf>
    <xf numFmtId="0" fontId="50" fillId="0" borderId="5" xfId="2" applyFont="1" applyBorder="1" applyAlignment="1">
      <alignment horizontal="left" vertical="top" wrapText="1"/>
    </xf>
    <xf numFmtId="0" fontId="50" fillId="0" borderId="6" xfId="2" applyFont="1" applyBorder="1" applyAlignment="1">
      <alignment horizontal="left" vertical="top" wrapText="1"/>
    </xf>
    <xf numFmtId="0" fontId="2" fillId="0" borderId="59" xfId="2" quotePrefix="1" applyFont="1" applyBorder="1" applyAlignment="1">
      <alignment horizontal="center" vertical="center"/>
    </xf>
    <xf numFmtId="0" fontId="2" fillId="0" borderId="60" xfId="2" quotePrefix="1" applyFont="1" applyBorder="1" applyAlignment="1">
      <alignment horizontal="center" vertical="center"/>
    </xf>
    <xf numFmtId="0" fontId="2" fillId="0" borderId="56" xfId="2" quotePrefix="1" applyFont="1" applyBorder="1" applyAlignment="1">
      <alignment horizontal="center" vertical="center"/>
    </xf>
    <xf numFmtId="0" fontId="2" fillId="0" borderId="57" xfId="2" quotePrefix="1" applyFont="1" applyBorder="1" applyAlignment="1">
      <alignment horizontal="center" vertical="center"/>
    </xf>
    <xf numFmtId="0" fontId="42" fillId="0" borderId="59" xfId="2" quotePrefix="1" applyFont="1" applyBorder="1" applyAlignment="1">
      <alignment horizontal="center" vertical="center"/>
    </xf>
    <xf numFmtId="0" fontId="42" fillId="0" borderId="60" xfId="2" quotePrefix="1" applyFont="1" applyBorder="1" applyAlignment="1">
      <alignment horizontal="center" vertical="center"/>
    </xf>
    <xf numFmtId="0" fontId="42" fillId="0" borderId="56" xfId="2" quotePrefix="1" applyFont="1" applyBorder="1" applyAlignment="1">
      <alignment horizontal="center" vertical="center"/>
    </xf>
    <xf numFmtId="0" fontId="42" fillId="0" borderId="57" xfId="2" quotePrefix="1" applyFont="1" applyBorder="1" applyAlignment="1">
      <alignment horizontal="center" vertical="center"/>
    </xf>
    <xf numFmtId="0" fontId="33" fillId="0" borderId="53" xfId="2" applyFont="1" applyBorder="1" applyAlignment="1">
      <alignment horizontal="center" vertical="center"/>
    </xf>
    <xf numFmtId="0" fontId="33" fillId="0" borderId="54" xfId="2" applyFont="1" applyBorder="1" applyAlignment="1">
      <alignment horizontal="center" vertical="center"/>
    </xf>
    <xf numFmtId="0" fontId="22" fillId="0" borderId="18" xfId="2" applyFont="1" applyBorder="1" applyAlignment="1">
      <alignment vertical="center" wrapText="1"/>
    </xf>
    <xf numFmtId="0" fontId="22" fillId="0" borderId="19" xfId="2" applyFont="1" applyBorder="1" applyAlignment="1">
      <alignment vertical="center" wrapText="1"/>
    </xf>
    <xf numFmtId="0" fontId="22" fillId="0" borderId="20" xfId="2" applyFont="1" applyBorder="1" applyAlignment="1">
      <alignment vertical="center" wrapText="1"/>
    </xf>
    <xf numFmtId="0" fontId="22" fillId="0" borderId="22" xfId="2" applyFont="1" applyBorder="1" applyAlignment="1">
      <alignment vertical="center" wrapText="1"/>
    </xf>
    <xf numFmtId="0" fontId="22" fillId="0" borderId="0" xfId="2" applyFont="1" applyAlignment="1">
      <alignment vertical="center" wrapText="1"/>
    </xf>
    <xf numFmtId="0" fontId="22" fillId="0" borderId="23" xfId="2" applyFont="1" applyBorder="1" applyAlignment="1">
      <alignment vertical="center" wrapText="1"/>
    </xf>
    <xf numFmtId="0" fontId="22" fillId="0" borderId="28" xfId="2" applyFont="1" applyBorder="1" applyAlignment="1">
      <alignment vertical="center" wrapText="1"/>
    </xf>
    <xf numFmtId="0" fontId="22" fillId="0" borderId="5" xfId="2" applyFont="1" applyBorder="1" applyAlignment="1">
      <alignment vertical="center" wrapText="1"/>
    </xf>
    <xf numFmtId="0" fontId="22" fillId="0" borderId="6" xfId="2" applyFont="1" applyBorder="1" applyAlignment="1">
      <alignment vertical="center" wrapText="1"/>
    </xf>
    <xf numFmtId="0" fontId="5" fillId="0" borderId="0" xfId="2" quotePrefix="1" applyFont="1" applyAlignment="1">
      <alignment horizontal="center" vertical="center" shrinkToFit="1"/>
    </xf>
  </cellXfs>
  <cellStyles count="7">
    <cellStyle name="백분율 2" xfId="4" xr:uid="{00000000-0005-0000-0000-000000000000}"/>
    <cellStyle name="쉼표 [0]" xfId="1" builtinId="6"/>
    <cellStyle name="쉼표 [0] 2" xfId="5" xr:uid="{00000000-0005-0000-0000-000002000000}"/>
    <cellStyle name="통화 [0] 2" xfId="6" xr:uid="{00000000-0005-0000-0000-000003000000}"/>
    <cellStyle name="표준" xfId="0" builtinId="0"/>
    <cellStyle name="표준 2" xfId="3" xr:uid="{00000000-0005-0000-0000-000005000000}"/>
    <cellStyle name="표준_현채직채용양식이유경외" xfId="2"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422672</xdr:colOff>
      <xdr:row>53</xdr:row>
      <xdr:rowOff>197644</xdr:rowOff>
    </xdr:from>
    <xdr:to>
      <xdr:col>4</xdr:col>
      <xdr:colOff>693351</xdr:colOff>
      <xdr:row>55</xdr:row>
      <xdr:rowOff>44053</xdr:rowOff>
    </xdr:to>
    <xdr:pic>
      <xdr:nvPicPr>
        <xdr:cNvPr id="3" name="그림 2">
          <a:extLst>
            <a:ext uri="{FF2B5EF4-FFF2-40B4-BE49-F238E27FC236}">
              <a16:creationId xmlns:a16="http://schemas.microsoft.com/office/drawing/2014/main" id="{F2C81E49-DD39-34D8-4FA1-A11E344841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94547" y="15256669"/>
          <a:ext cx="270679" cy="265509"/>
        </a:xfrm>
        <a:prstGeom prst="rect">
          <a:avLst/>
        </a:prstGeom>
      </xdr:spPr>
    </xdr:pic>
    <xdr:clientData/>
  </xdr:twoCellAnchor>
</xdr:wsDr>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1"/>
  <sheetViews>
    <sheetView tabSelected="1" view="pageBreakPreview" zoomScaleNormal="100" zoomScaleSheetLayoutView="100" workbookViewId="0">
      <selection activeCell="B12" sqref="B12:J14"/>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96" t="s">
        <v>203</v>
      </c>
      <c r="B1" s="196"/>
      <c r="C1" s="196"/>
      <c r="D1" s="196"/>
      <c r="E1" s="196"/>
      <c r="F1" s="1"/>
      <c r="G1" s="1"/>
      <c r="H1" s="1"/>
      <c r="I1" s="1"/>
      <c r="J1" s="1"/>
      <c r="L1" s="197" t="s">
        <v>0</v>
      </c>
      <c r="M1" s="197"/>
      <c r="N1" s="197"/>
      <c r="O1" s="197"/>
      <c r="P1" s="197"/>
      <c r="Q1" s="197"/>
      <c r="S1" s="3"/>
    </row>
    <row r="2" spans="1:19" ht="27" customHeight="1">
      <c r="A2" s="198" t="s">
        <v>1</v>
      </c>
      <c r="B2" s="198"/>
      <c r="C2" s="198"/>
      <c r="D2" s="198"/>
      <c r="E2" s="198"/>
      <c r="F2" s="198"/>
      <c r="G2" s="198"/>
      <c r="H2" s="198"/>
      <c r="I2" s="198"/>
      <c r="J2" s="198"/>
      <c r="L2" s="197"/>
      <c r="M2" s="197"/>
      <c r="N2" s="197"/>
      <c r="O2" s="197"/>
      <c r="P2" s="197"/>
      <c r="Q2" s="197"/>
      <c r="S2" s="3"/>
    </row>
    <row r="3" spans="1:19" ht="6" customHeight="1" thickBot="1">
      <c r="A3" s="1"/>
      <c r="B3" s="1"/>
      <c r="C3" s="1"/>
      <c r="D3" s="1"/>
      <c r="E3" s="1"/>
      <c r="F3" s="1"/>
      <c r="G3" s="1"/>
      <c r="H3" s="1"/>
      <c r="I3" s="1"/>
      <c r="J3" s="1"/>
      <c r="K3" s="4"/>
      <c r="L3" s="199" t="s">
        <v>2</v>
      </c>
      <c r="M3" s="199"/>
      <c r="N3" s="199"/>
      <c r="O3" s="199"/>
      <c r="P3" s="199"/>
      <c r="S3" s="3"/>
    </row>
    <row r="4" spans="1:19" ht="17.25" customHeight="1">
      <c r="A4" s="200" t="s">
        <v>74</v>
      </c>
      <c r="B4" s="201"/>
      <c r="C4" s="202" t="s">
        <v>3</v>
      </c>
      <c r="D4" s="202"/>
      <c r="E4" s="89"/>
      <c r="F4" s="202" t="s">
        <v>5</v>
      </c>
      <c r="G4" s="202"/>
      <c r="H4" s="202"/>
      <c r="I4" s="202"/>
      <c r="J4" s="203"/>
      <c r="K4" s="5"/>
      <c r="L4" s="199"/>
      <c r="M4" s="199"/>
      <c r="N4" s="199"/>
      <c r="O4" s="199"/>
      <c r="P4" s="199"/>
      <c r="S4" s="3"/>
    </row>
    <row r="5" spans="1:19" ht="15" customHeight="1" thickBot="1">
      <c r="A5" s="204" t="s">
        <v>6</v>
      </c>
      <c r="B5" s="205"/>
      <c r="C5" s="205"/>
      <c r="D5" s="205"/>
      <c r="E5" s="205"/>
      <c r="F5" s="205"/>
      <c r="G5" s="205"/>
      <c r="H5" s="205"/>
      <c r="I5" s="205"/>
      <c r="J5" s="206"/>
      <c r="K5" s="5"/>
      <c r="L5" s="6" t="s">
        <v>2</v>
      </c>
      <c r="M5" s="7"/>
      <c r="N5" s="8"/>
      <c r="O5" s="9"/>
      <c r="P5" s="9"/>
      <c r="S5" s="3"/>
    </row>
    <row r="6" spans="1:19" ht="21.75" customHeight="1" thickBot="1">
      <c r="A6" s="10" t="s">
        <v>7</v>
      </c>
      <c r="B6" s="207"/>
      <c r="C6" s="208"/>
      <c r="D6" s="208"/>
      <c r="E6" s="209"/>
      <c r="F6" s="210" t="s">
        <v>8</v>
      </c>
      <c r="G6" s="211"/>
      <c r="H6" s="212"/>
      <c r="I6" s="213"/>
      <c r="J6" s="214"/>
      <c r="L6" s="11" t="s">
        <v>9</v>
      </c>
      <c r="M6" s="12"/>
      <c r="N6" s="13" t="s">
        <v>10</v>
      </c>
      <c r="O6" s="14">
        <v>8</v>
      </c>
      <c r="P6" s="15" t="s">
        <v>11</v>
      </c>
      <c r="Q6" s="16">
        <v>6</v>
      </c>
      <c r="S6" s="3"/>
    </row>
    <row r="7" spans="1:19" ht="21.75" customHeight="1">
      <c r="A7" s="17" t="s">
        <v>12</v>
      </c>
      <c r="B7" s="170"/>
      <c r="C7" s="170"/>
      <c r="D7" s="170"/>
      <c r="E7" s="170"/>
      <c r="F7" s="215" t="s">
        <v>13</v>
      </c>
      <c r="G7" s="215"/>
      <c r="H7" s="170"/>
      <c r="I7" s="170"/>
      <c r="J7" s="171"/>
      <c r="L7" s="18"/>
      <c r="M7" s="18"/>
      <c r="N7" s="18"/>
      <c r="O7" s="18"/>
      <c r="P7" s="18"/>
      <c r="S7" s="3"/>
    </row>
    <row r="8" spans="1:19" ht="18" customHeight="1" thickBot="1">
      <c r="A8" s="141" t="s">
        <v>15</v>
      </c>
      <c r="B8" s="182" t="s">
        <v>107</v>
      </c>
      <c r="C8" s="183"/>
      <c r="D8" s="184" t="s">
        <v>108</v>
      </c>
      <c r="E8" s="183"/>
      <c r="F8" s="19" t="s">
        <v>16</v>
      </c>
      <c r="G8" s="185" t="s">
        <v>17</v>
      </c>
      <c r="H8" s="185"/>
      <c r="I8" s="185"/>
      <c r="J8" s="186"/>
      <c r="L8" s="8"/>
      <c r="M8" s="8"/>
      <c r="N8" s="8"/>
      <c r="O8" s="8"/>
      <c r="P8" s="8"/>
      <c r="S8" s="3"/>
    </row>
    <row r="9" spans="1:19" ht="12" customHeight="1">
      <c r="A9" s="134"/>
      <c r="B9" s="187" t="s">
        <v>69</v>
      </c>
      <c r="C9" s="188"/>
      <c r="D9" s="188"/>
      <c r="E9" s="188"/>
      <c r="F9" s="188"/>
      <c r="G9" s="188"/>
      <c r="H9" s="188"/>
      <c r="I9" s="188"/>
      <c r="J9" s="189"/>
      <c r="L9" s="20" t="s">
        <v>18</v>
      </c>
      <c r="M9" s="21" t="s">
        <v>19</v>
      </c>
      <c r="N9" s="21" t="s">
        <v>20</v>
      </c>
      <c r="O9" s="21" t="s">
        <v>21</v>
      </c>
      <c r="P9" s="21" t="s">
        <v>22</v>
      </c>
      <c r="Q9" s="22" t="s">
        <v>23</v>
      </c>
      <c r="S9" s="3"/>
    </row>
    <row r="10" spans="1:19" ht="30" customHeight="1">
      <c r="A10" s="142"/>
      <c r="B10" s="190"/>
      <c r="C10" s="191"/>
      <c r="D10" s="191"/>
      <c r="E10" s="191"/>
      <c r="F10" s="191"/>
      <c r="G10" s="191"/>
      <c r="H10" s="191"/>
      <c r="I10" s="191"/>
      <c r="J10" s="192"/>
      <c r="K10" s="23" t="s">
        <v>14</v>
      </c>
      <c r="L10" s="24" t="s">
        <v>24</v>
      </c>
      <c r="M10" s="25">
        <v>48</v>
      </c>
      <c r="N10" s="26">
        <v>1</v>
      </c>
      <c r="O10" s="27">
        <v>4.34</v>
      </c>
      <c r="P10" s="28">
        <f>M10*O10</f>
        <v>208.32</v>
      </c>
      <c r="Q10" s="29">
        <f>P10/P15</f>
        <v>0.70060266896254841</v>
      </c>
      <c r="S10" s="3"/>
    </row>
    <row r="11" spans="1:19" ht="19.5" customHeight="1">
      <c r="A11" s="141" t="s">
        <v>25</v>
      </c>
      <c r="B11" s="172" t="s">
        <v>26</v>
      </c>
      <c r="C11" s="173"/>
      <c r="D11" s="173"/>
      <c r="E11" s="30">
        <f>D24</f>
        <v>112096.42703400775</v>
      </c>
      <c r="F11" s="31" t="s">
        <v>27</v>
      </c>
      <c r="G11" s="32">
        <f>E11/8</f>
        <v>14012.053379250969</v>
      </c>
      <c r="H11" s="174" t="s">
        <v>28</v>
      </c>
      <c r="I11" s="174"/>
      <c r="J11" s="175"/>
      <c r="L11" s="24" t="s">
        <v>29</v>
      </c>
      <c r="M11" s="25">
        <v>9.6</v>
      </c>
      <c r="N11" s="26">
        <v>1</v>
      </c>
      <c r="O11" s="27">
        <v>4.34</v>
      </c>
      <c r="P11" s="28">
        <f>M11*O11</f>
        <v>41.663999999999994</v>
      </c>
      <c r="Q11" s="33">
        <f>P11/P15</f>
        <v>0.14012053379250966</v>
      </c>
      <c r="S11" s="3">
        <f>R12/730</f>
        <v>28337.137565753426</v>
      </c>
    </row>
    <row r="12" spans="1:19" ht="17.25" customHeight="1">
      <c r="A12" s="134"/>
      <c r="B12" s="176" t="s">
        <v>30</v>
      </c>
      <c r="C12" s="177"/>
      <c r="D12" s="177"/>
      <c r="E12" s="177"/>
      <c r="F12" s="177"/>
      <c r="G12" s="177"/>
      <c r="H12" s="177"/>
      <c r="I12" s="177"/>
      <c r="J12" s="178"/>
      <c r="L12" s="24" t="s">
        <v>31</v>
      </c>
      <c r="M12" s="25">
        <v>12</v>
      </c>
      <c r="N12" s="26">
        <v>1</v>
      </c>
      <c r="O12" s="81">
        <v>1</v>
      </c>
      <c r="P12" s="28">
        <f>M12*N12*O12</f>
        <v>12</v>
      </c>
      <c r="Q12" s="33">
        <f>P12/P15</f>
        <v>4.0357296599225143E-2</v>
      </c>
      <c r="R12" s="160">
        <f>232428207*0.089</f>
        <v>20686110.423</v>
      </c>
      <c r="S12" s="161"/>
    </row>
    <row r="13" spans="1:19" ht="17.25" customHeight="1">
      <c r="A13" s="134"/>
      <c r="B13" s="176"/>
      <c r="C13" s="177"/>
      <c r="D13" s="177"/>
      <c r="E13" s="177"/>
      <c r="F13" s="177"/>
      <c r="G13" s="177"/>
      <c r="H13" s="177"/>
      <c r="I13" s="177"/>
      <c r="J13" s="178"/>
      <c r="L13" s="24" t="s">
        <v>32</v>
      </c>
      <c r="M13" s="25">
        <v>8</v>
      </c>
      <c r="N13" s="26">
        <v>0.5</v>
      </c>
      <c r="O13" s="27">
        <v>4.34</v>
      </c>
      <c r="P13" s="28">
        <f>M13*N13*O13</f>
        <v>17.36</v>
      </c>
      <c r="Q13" s="34">
        <f>P13/P15</f>
        <v>5.8383555746879034E-2</v>
      </c>
      <c r="R13" s="2">
        <f>365*0.089</f>
        <v>32.484999999999999</v>
      </c>
      <c r="S13" s="3"/>
    </row>
    <row r="14" spans="1:19" ht="17.25" customHeight="1">
      <c r="A14" s="134"/>
      <c r="B14" s="176"/>
      <c r="C14" s="177"/>
      <c r="D14" s="177"/>
      <c r="E14" s="177"/>
      <c r="F14" s="177"/>
      <c r="G14" s="177"/>
      <c r="H14" s="177"/>
      <c r="I14" s="177"/>
      <c r="J14" s="178"/>
      <c r="L14" s="24" t="s">
        <v>33</v>
      </c>
      <c r="M14" s="27">
        <v>0</v>
      </c>
      <c r="N14" s="26"/>
      <c r="O14" s="35">
        <v>0</v>
      </c>
      <c r="P14" s="28">
        <v>18</v>
      </c>
      <c r="Q14" s="34">
        <f>P14/P15</f>
        <v>6.0535944898837714E-2</v>
      </c>
      <c r="R14" s="168">
        <f>R12/R13</f>
        <v>636789.60821917816</v>
      </c>
      <c r="S14" s="169"/>
    </row>
    <row r="15" spans="1:19" ht="13.5" customHeight="1" thickBot="1">
      <c r="A15" s="134"/>
      <c r="B15" s="125" t="s">
        <v>82</v>
      </c>
      <c r="C15" s="126"/>
      <c r="D15" s="126"/>
      <c r="E15" s="126"/>
      <c r="F15" s="126"/>
      <c r="G15" s="126"/>
      <c r="H15" s="126"/>
      <c r="I15" s="126"/>
      <c r="J15" s="127"/>
      <c r="L15" s="36" t="s">
        <v>34</v>
      </c>
      <c r="M15" s="37"/>
      <c r="N15" s="37"/>
      <c r="O15" s="37">
        <v>0</v>
      </c>
      <c r="P15" s="38">
        <f>SUM(P10:P14)</f>
        <v>297.34399999999999</v>
      </c>
      <c r="Q15" s="39">
        <f>SUM(Q10:Q14)</f>
        <v>1</v>
      </c>
      <c r="S15" s="3"/>
    </row>
    <row r="16" spans="1:19" ht="13.5" customHeight="1">
      <c r="A16" s="134"/>
      <c r="B16" s="125"/>
      <c r="C16" s="126"/>
      <c r="D16" s="126"/>
      <c r="E16" s="126"/>
      <c r="F16" s="126"/>
      <c r="G16" s="126"/>
      <c r="H16" s="126"/>
      <c r="I16" s="126"/>
      <c r="J16" s="127"/>
      <c r="S16" s="3"/>
    </row>
    <row r="17" spans="1:19" ht="21" customHeight="1">
      <c r="A17" s="134"/>
      <c r="B17" s="125" t="s">
        <v>35</v>
      </c>
      <c r="C17" s="126"/>
      <c r="D17" s="126"/>
      <c r="E17" s="126"/>
      <c r="F17" s="126"/>
      <c r="G17" s="126"/>
      <c r="H17" s="126"/>
      <c r="I17" s="126"/>
      <c r="J17" s="127"/>
      <c r="L17" s="162"/>
      <c r="M17" s="163"/>
      <c r="N17" s="40" t="s">
        <v>86</v>
      </c>
      <c r="O17" s="41"/>
      <c r="P17" s="41"/>
      <c r="Q17" s="42">
        <v>9620</v>
      </c>
      <c r="S17" s="3"/>
    </row>
    <row r="18" spans="1:19" ht="15.75" customHeight="1">
      <c r="A18" s="134"/>
      <c r="B18" s="164" t="s">
        <v>88</v>
      </c>
      <c r="C18" s="165"/>
      <c r="D18" s="165"/>
      <c r="E18" s="165"/>
      <c r="F18" s="165"/>
      <c r="G18" s="43">
        <v>160000</v>
      </c>
      <c r="H18" s="166" t="s">
        <v>37</v>
      </c>
      <c r="I18" s="166"/>
      <c r="J18" s="167"/>
      <c r="L18" s="162"/>
      <c r="M18" s="163"/>
      <c r="P18" s="44"/>
      <c r="S18" s="3"/>
    </row>
    <row r="19" spans="1:19" ht="15.75" customHeight="1">
      <c r="A19" s="134"/>
      <c r="B19" s="179" t="s">
        <v>112</v>
      </c>
      <c r="C19" s="180"/>
      <c r="D19" s="180"/>
      <c r="E19" s="180"/>
      <c r="F19" s="180"/>
      <c r="G19" s="180"/>
      <c r="H19" s="180"/>
      <c r="I19" s="180"/>
      <c r="J19" s="181"/>
      <c r="L19" s="45" t="s">
        <v>39</v>
      </c>
      <c r="M19" s="45"/>
      <c r="N19" s="45"/>
      <c r="O19" s="45"/>
      <c r="P19" s="45"/>
      <c r="Q19" s="46"/>
      <c r="S19" s="3"/>
    </row>
    <row r="20" spans="1:19" ht="15.75" customHeight="1">
      <c r="A20" s="82"/>
      <c r="B20" s="179" t="s">
        <v>73</v>
      </c>
      <c r="C20" s="180"/>
      <c r="D20" s="180"/>
      <c r="E20" s="180"/>
      <c r="F20" s="180"/>
      <c r="G20" s="180"/>
      <c r="H20" s="180"/>
      <c r="I20" s="180"/>
      <c r="J20" s="181"/>
      <c r="L20" s="45" t="s">
        <v>44</v>
      </c>
      <c r="M20" s="45"/>
      <c r="N20" s="45"/>
      <c r="O20" s="45"/>
      <c r="P20" s="45"/>
      <c r="Q20" s="46"/>
      <c r="S20" s="3"/>
    </row>
    <row r="21" spans="1:19" ht="15.75" customHeight="1">
      <c r="A21" s="82"/>
      <c r="B21" s="193" t="s">
        <v>100</v>
      </c>
      <c r="C21" s="194"/>
      <c r="D21" s="194"/>
      <c r="E21" s="194"/>
      <c r="F21" s="194"/>
      <c r="G21" s="194"/>
      <c r="H21" s="194"/>
      <c r="I21" s="194"/>
      <c r="J21" s="195"/>
      <c r="L21" s="45" t="s">
        <v>46</v>
      </c>
      <c r="M21" s="45"/>
      <c r="N21" s="45"/>
      <c r="O21" s="45"/>
      <c r="P21" s="45"/>
      <c r="Q21" s="46"/>
      <c r="S21" s="3"/>
    </row>
    <row r="22" spans="1:19" ht="18.75" customHeight="1">
      <c r="A22" s="119" t="s">
        <v>40</v>
      </c>
      <c r="B22" s="146" t="s">
        <v>41</v>
      </c>
      <c r="C22" s="147"/>
      <c r="D22" s="47" t="s">
        <v>24</v>
      </c>
      <c r="E22" s="47" t="s">
        <v>42</v>
      </c>
      <c r="F22" s="47" t="s">
        <v>31</v>
      </c>
      <c r="G22" s="148" t="s">
        <v>43</v>
      </c>
      <c r="H22" s="149"/>
      <c r="I22" s="148" t="s">
        <v>33</v>
      </c>
      <c r="J22" s="150"/>
      <c r="L22" s="45" t="s">
        <v>48</v>
      </c>
      <c r="M22" s="45"/>
      <c r="N22" s="45"/>
      <c r="O22" s="45"/>
      <c r="P22" s="45"/>
      <c r="Q22" s="46"/>
      <c r="R22" s="45"/>
      <c r="S22" s="2"/>
    </row>
    <row r="23" spans="1:19" ht="18.75" customHeight="1">
      <c r="A23" s="120"/>
      <c r="B23" s="151" t="s">
        <v>45</v>
      </c>
      <c r="C23" s="152"/>
      <c r="D23" s="48">
        <f>Q10</f>
        <v>0.70060266896254841</v>
      </c>
      <c r="E23" s="48">
        <f>Q11</f>
        <v>0.14012053379250966</v>
      </c>
      <c r="F23" s="48">
        <f>Q12</f>
        <v>4.0357296599225143E-2</v>
      </c>
      <c r="G23" s="153">
        <f>Q13</f>
        <v>5.8383555746879034E-2</v>
      </c>
      <c r="H23" s="154"/>
      <c r="I23" s="153">
        <f>Q14</f>
        <v>6.0535944898837714E-2</v>
      </c>
      <c r="J23" s="155"/>
      <c r="L23" s="45"/>
      <c r="M23" s="45"/>
      <c r="N23" s="45"/>
      <c r="O23" s="45"/>
      <c r="P23" s="45"/>
      <c r="Q23" s="45"/>
      <c r="R23" s="45"/>
      <c r="S23" s="2"/>
    </row>
    <row r="24" spans="1:19" ht="18.75" customHeight="1">
      <c r="A24" s="121"/>
      <c r="B24" s="49" t="s">
        <v>47</v>
      </c>
      <c r="C24" s="50">
        <f>G11</f>
        <v>14012.053379250969</v>
      </c>
      <c r="D24" s="51">
        <f>G18*$D$23</f>
        <v>112096.42703400775</v>
      </c>
      <c r="E24" s="52">
        <f>G18*$E$23</f>
        <v>22419.285406801544</v>
      </c>
      <c r="F24" s="51">
        <f>G18*$F$23</f>
        <v>6457.1674558760224</v>
      </c>
      <c r="G24" s="156">
        <f>G18*$G$23</f>
        <v>9341.3689195006464</v>
      </c>
      <c r="H24" s="157"/>
      <c r="I24" s="158">
        <f>G18*$I$23</f>
        <v>9685.7511838140344</v>
      </c>
      <c r="J24" s="159"/>
      <c r="L24" s="45"/>
      <c r="M24" s="45"/>
      <c r="N24" s="45"/>
      <c r="O24" s="45"/>
      <c r="P24" s="45"/>
      <c r="Q24" s="45"/>
      <c r="R24" s="45"/>
      <c r="S24" s="2"/>
    </row>
    <row r="25" spans="1:19" ht="54.75" customHeight="1">
      <c r="A25" s="119" t="s">
        <v>49</v>
      </c>
      <c r="B25" s="135" t="s">
        <v>101</v>
      </c>
      <c r="C25" s="136"/>
      <c r="D25" s="136"/>
      <c r="E25" s="136"/>
      <c r="F25" s="136"/>
      <c r="G25" s="136"/>
      <c r="H25" s="136"/>
      <c r="I25" s="136"/>
      <c r="J25" s="137"/>
      <c r="L25" s="91">
        <f>4000000/25</f>
        <v>160000</v>
      </c>
      <c r="M25" s="45"/>
      <c r="N25" s="45"/>
      <c r="O25" s="45"/>
      <c r="P25" s="45"/>
      <c r="Q25" s="46"/>
      <c r="S25" s="2"/>
    </row>
    <row r="26" spans="1:19" ht="66.75" customHeight="1">
      <c r="A26" s="134"/>
      <c r="B26" s="138"/>
      <c r="C26" s="139"/>
      <c r="D26" s="139"/>
      <c r="E26" s="139"/>
      <c r="F26" s="139"/>
      <c r="G26" s="139"/>
      <c r="H26" s="139"/>
      <c r="I26" s="139"/>
      <c r="J26" s="140"/>
      <c r="L26" s="45" t="s">
        <v>14</v>
      </c>
      <c r="M26" s="45"/>
      <c r="N26" s="45"/>
      <c r="O26" s="45"/>
      <c r="P26" s="45"/>
      <c r="Q26" s="46"/>
      <c r="S26" s="2"/>
    </row>
    <row r="27" spans="1:19" ht="27.75" customHeight="1">
      <c r="A27" s="141" t="s">
        <v>50</v>
      </c>
      <c r="B27" s="122" t="s">
        <v>70</v>
      </c>
      <c r="C27" s="123"/>
      <c r="D27" s="123"/>
      <c r="E27" s="123"/>
      <c r="F27" s="123"/>
      <c r="G27" s="123"/>
      <c r="H27" s="123"/>
      <c r="I27" s="123"/>
      <c r="J27" s="124"/>
      <c r="L27" s="3">
        <f>C24*8</f>
        <v>112096.42703400775</v>
      </c>
      <c r="M27" s="53">
        <f>E24*5</f>
        <v>112096.42703400772</v>
      </c>
      <c r="N27" s="45"/>
      <c r="O27" s="53"/>
      <c r="P27" s="54"/>
      <c r="Q27" s="53"/>
      <c r="R27" s="55"/>
      <c r="S27" s="56"/>
    </row>
    <row r="28" spans="1:19" ht="27.75" customHeight="1">
      <c r="A28" s="142"/>
      <c r="B28" s="128"/>
      <c r="C28" s="129"/>
      <c r="D28" s="129"/>
      <c r="E28" s="129"/>
      <c r="F28" s="129"/>
      <c r="G28" s="129"/>
      <c r="H28" s="129"/>
      <c r="I28" s="129"/>
      <c r="J28" s="130"/>
      <c r="L28" s="3"/>
      <c r="M28" s="54"/>
      <c r="R28" s="55"/>
      <c r="S28" s="56"/>
    </row>
    <row r="29" spans="1:19" ht="40.5" customHeight="1">
      <c r="A29" s="57" t="s">
        <v>51</v>
      </c>
      <c r="B29" s="122" t="s">
        <v>68</v>
      </c>
      <c r="C29" s="123"/>
      <c r="D29" s="123"/>
      <c r="E29" s="123"/>
      <c r="F29" s="123"/>
      <c r="G29" s="123"/>
      <c r="H29" s="123"/>
      <c r="I29" s="123"/>
      <c r="J29" s="124"/>
      <c r="L29" s="143" t="s">
        <v>52</v>
      </c>
      <c r="M29" s="143"/>
      <c r="N29" s="143"/>
      <c r="O29" s="143"/>
      <c r="P29" s="143"/>
      <c r="Q29" s="143"/>
      <c r="R29" s="55"/>
      <c r="S29" s="56"/>
    </row>
    <row r="30" spans="1:19" ht="23.25" customHeight="1">
      <c r="A30" s="119" t="s">
        <v>53</v>
      </c>
      <c r="B30" s="122" t="s">
        <v>71</v>
      </c>
      <c r="C30" s="123"/>
      <c r="D30" s="123"/>
      <c r="E30" s="123"/>
      <c r="F30" s="123"/>
      <c r="G30" s="123"/>
      <c r="H30" s="123"/>
      <c r="I30" s="123"/>
      <c r="J30" s="124"/>
      <c r="L30" s="143"/>
      <c r="M30" s="143"/>
      <c r="N30" s="143"/>
      <c r="O30" s="143"/>
      <c r="P30" s="143"/>
      <c r="Q30" s="143"/>
      <c r="R30" s="55"/>
      <c r="S30" s="55"/>
    </row>
    <row r="31" spans="1:19" ht="23.25" customHeight="1">
      <c r="A31" s="120"/>
      <c r="B31" s="125"/>
      <c r="C31" s="126"/>
      <c r="D31" s="126"/>
      <c r="E31" s="126"/>
      <c r="F31" s="126"/>
      <c r="G31" s="126"/>
      <c r="H31" s="126"/>
      <c r="I31" s="126"/>
      <c r="J31" s="127"/>
      <c r="L31" s="143"/>
      <c r="M31" s="143"/>
      <c r="N31" s="143"/>
      <c r="O31" s="143"/>
      <c r="P31" s="143"/>
      <c r="Q31" s="143"/>
      <c r="S31" s="2"/>
    </row>
    <row r="32" spans="1:19" ht="23.25" customHeight="1">
      <c r="A32" s="120"/>
      <c r="B32" s="125"/>
      <c r="C32" s="126"/>
      <c r="D32" s="126"/>
      <c r="E32" s="126"/>
      <c r="F32" s="126"/>
      <c r="G32" s="126"/>
      <c r="H32" s="126"/>
      <c r="I32" s="126"/>
      <c r="J32" s="127"/>
      <c r="L32" s="143"/>
      <c r="M32" s="143"/>
      <c r="N32" s="143"/>
      <c r="O32" s="143"/>
      <c r="P32" s="143"/>
      <c r="Q32" s="143"/>
      <c r="S32" s="2"/>
    </row>
    <row r="33" spans="1:19" ht="23.25" customHeight="1">
      <c r="A33" s="120"/>
      <c r="B33" s="125"/>
      <c r="C33" s="126"/>
      <c r="D33" s="126"/>
      <c r="E33" s="126"/>
      <c r="F33" s="126"/>
      <c r="G33" s="126"/>
      <c r="H33" s="126"/>
      <c r="I33" s="126"/>
      <c r="J33" s="127"/>
      <c r="L33" s="18"/>
      <c r="M33" s="18"/>
      <c r="N33" s="18"/>
      <c r="O33" s="18"/>
      <c r="P33" s="18"/>
      <c r="S33" s="2"/>
    </row>
    <row r="34" spans="1:19" ht="23.25" customHeight="1">
      <c r="A34" s="120"/>
      <c r="B34" s="125"/>
      <c r="C34" s="126"/>
      <c r="D34" s="126"/>
      <c r="E34" s="126"/>
      <c r="F34" s="126"/>
      <c r="G34" s="126"/>
      <c r="H34" s="126"/>
      <c r="I34" s="126"/>
      <c r="J34" s="127"/>
      <c r="L34" s="58"/>
      <c r="M34" s="58"/>
      <c r="N34" s="58"/>
      <c r="O34" s="144"/>
      <c r="P34" s="144"/>
      <c r="Q34" s="59"/>
      <c r="S34" s="2"/>
    </row>
    <row r="35" spans="1:19" ht="28.5" customHeight="1">
      <c r="A35" s="121"/>
      <c r="B35" s="128"/>
      <c r="C35" s="129"/>
      <c r="D35" s="129"/>
      <c r="E35" s="129"/>
      <c r="F35" s="129"/>
      <c r="G35" s="129"/>
      <c r="H35" s="129"/>
      <c r="I35" s="129"/>
      <c r="J35" s="130"/>
      <c r="L35" s="60"/>
      <c r="M35" s="60"/>
      <c r="N35" s="60"/>
      <c r="O35" s="145"/>
      <c r="P35" s="145"/>
      <c r="Q35" s="61"/>
      <c r="S35" s="2"/>
    </row>
    <row r="36" spans="1:19" ht="21" customHeight="1">
      <c r="A36" s="119" t="s">
        <v>54</v>
      </c>
      <c r="B36" s="122" t="s">
        <v>102</v>
      </c>
      <c r="C36" s="123"/>
      <c r="D36" s="123"/>
      <c r="E36" s="123"/>
      <c r="F36" s="123"/>
      <c r="G36" s="123"/>
      <c r="H36" s="123"/>
      <c r="I36" s="123"/>
      <c r="J36" s="124"/>
      <c r="L36" s="62"/>
      <c r="M36" s="63"/>
      <c r="N36" s="62"/>
      <c r="O36" s="131"/>
      <c r="P36" s="131"/>
      <c r="Q36" s="64"/>
      <c r="R36" s="65"/>
      <c r="S36" s="2"/>
    </row>
    <row r="37" spans="1:19" ht="19.5" customHeight="1">
      <c r="A37" s="120"/>
      <c r="B37" s="125"/>
      <c r="C37" s="126"/>
      <c r="D37" s="126"/>
      <c r="E37" s="126"/>
      <c r="F37" s="126"/>
      <c r="G37" s="126"/>
      <c r="H37" s="126"/>
      <c r="I37" s="126"/>
      <c r="J37" s="127"/>
      <c r="L37" s="66"/>
      <c r="M37" s="67"/>
      <c r="N37" s="66"/>
      <c r="O37" s="132"/>
      <c r="P37" s="132"/>
      <c r="Q37" s="68"/>
      <c r="R37" s="69"/>
      <c r="S37" s="2"/>
    </row>
    <row r="38" spans="1:19" ht="19.5" customHeight="1">
      <c r="A38" s="120"/>
      <c r="B38" s="125"/>
      <c r="C38" s="126"/>
      <c r="D38" s="126"/>
      <c r="E38" s="126"/>
      <c r="F38" s="126"/>
      <c r="G38" s="126"/>
      <c r="H38" s="126"/>
      <c r="I38" s="126"/>
      <c r="J38" s="127"/>
      <c r="L38" s="70"/>
      <c r="M38" s="71"/>
      <c r="N38" s="70"/>
      <c r="O38" s="133"/>
      <c r="P38" s="133"/>
      <c r="Q38" s="72"/>
      <c r="R38" s="73"/>
      <c r="S38" s="2"/>
    </row>
    <row r="39" spans="1:19" ht="19.5" customHeight="1">
      <c r="A39" s="120"/>
      <c r="B39" s="125"/>
      <c r="C39" s="126"/>
      <c r="D39" s="126"/>
      <c r="E39" s="126"/>
      <c r="F39" s="126"/>
      <c r="G39" s="126"/>
      <c r="H39" s="126"/>
      <c r="I39" s="126"/>
      <c r="J39" s="127"/>
      <c r="L39" s="70"/>
      <c r="M39" s="71"/>
      <c r="N39" s="70"/>
      <c r="O39" s="70"/>
      <c r="P39" s="70"/>
      <c r="Q39" s="72"/>
      <c r="R39" s="73"/>
      <c r="S39" s="2"/>
    </row>
    <row r="40" spans="1:19" ht="19.5" customHeight="1">
      <c r="A40" s="121"/>
      <c r="B40" s="128"/>
      <c r="C40" s="129"/>
      <c r="D40" s="129"/>
      <c r="E40" s="129"/>
      <c r="F40" s="129"/>
      <c r="G40" s="129"/>
      <c r="H40" s="129"/>
      <c r="I40" s="129"/>
      <c r="J40" s="130"/>
      <c r="L40" s="70"/>
      <c r="M40" s="71"/>
      <c r="N40" s="70"/>
      <c r="O40" s="133"/>
      <c r="P40" s="133"/>
      <c r="Q40" s="72"/>
      <c r="R40" s="73"/>
      <c r="S40" s="2"/>
    </row>
    <row r="41" spans="1:19" ht="17.100000000000001" customHeight="1">
      <c r="A41" s="119" t="s">
        <v>75</v>
      </c>
      <c r="B41" s="83" t="s">
        <v>76</v>
      </c>
      <c r="C41" s="84"/>
      <c r="D41" s="84"/>
      <c r="E41" s="84"/>
      <c r="F41" s="84"/>
      <c r="G41" s="84"/>
      <c r="H41" s="84"/>
      <c r="I41" s="84"/>
      <c r="J41" s="85"/>
      <c r="L41" s="70"/>
      <c r="M41" s="71"/>
      <c r="N41" s="70"/>
      <c r="O41" s="70"/>
      <c r="P41" s="70"/>
      <c r="Q41" s="72"/>
      <c r="R41" s="73"/>
      <c r="S41" s="2"/>
    </row>
    <row r="42" spans="1:19" ht="19.5" customHeight="1">
      <c r="A42" s="120"/>
      <c r="B42" s="216" t="s">
        <v>77</v>
      </c>
      <c r="C42" s="217"/>
      <c r="D42" s="216" t="s">
        <v>78</v>
      </c>
      <c r="E42" s="217"/>
      <c r="F42" s="216" t="s">
        <v>79</v>
      </c>
      <c r="G42" s="217"/>
      <c r="H42" s="216" t="s">
        <v>80</v>
      </c>
      <c r="I42" s="217"/>
      <c r="J42" s="86" t="s">
        <v>81</v>
      </c>
      <c r="L42" s="70"/>
      <c r="M42" s="71"/>
      <c r="N42" s="70"/>
      <c r="O42" s="70"/>
      <c r="P42" s="70"/>
      <c r="Q42" s="72"/>
      <c r="R42" s="73"/>
      <c r="S42" s="2"/>
    </row>
    <row r="43" spans="1:19" ht="19.5" customHeight="1">
      <c r="A43" s="120"/>
      <c r="B43" s="218" t="s">
        <v>87</v>
      </c>
      <c r="C43" s="219"/>
      <c r="D43" s="218" t="s">
        <v>87</v>
      </c>
      <c r="E43" s="219"/>
      <c r="F43" s="218" t="s">
        <v>87</v>
      </c>
      <c r="G43" s="219"/>
      <c r="H43" s="218" t="s">
        <v>87</v>
      </c>
      <c r="I43" s="219"/>
      <c r="J43" s="90" t="s">
        <v>87</v>
      </c>
      <c r="L43" s="70"/>
      <c r="M43" s="71"/>
      <c r="N43" s="70"/>
      <c r="O43" s="70"/>
      <c r="P43" s="70"/>
      <c r="Q43" s="72"/>
      <c r="R43" s="73"/>
      <c r="S43" s="2"/>
    </row>
    <row r="44" spans="1:19" ht="19.5" customHeight="1">
      <c r="A44" s="121"/>
      <c r="B44" s="220" t="s">
        <v>103</v>
      </c>
      <c r="C44" s="221"/>
      <c r="D44" s="221"/>
      <c r="E44" s="221"/>
      <c r="F44" s="221"/>
      <c r="G44" s="221"/>
      <c r="H44" s="221"/>
      <c r="I44" s="221"/>
      <c r="J44" s="222"/>
      <c r="L44" s="70"/>
      <c r="M44" s="71"/>
      <c r="N44" s="70"/>
      <c r="O44" s="70"/>
      <c r="P44" s="70"/>
      <c r="Q44" s="72"/>
      <c r="R44" s="73"/>
      <c r="S44" s="2"/>
    </row>
    <row r="45" spans="1:19" ht="21" customHeight="1">
      <c r="A45" s="74" t="s">
        <v>56</v>
      </c>
      <c r="B45" s="105" t="s">
        <v>104</v>
      </c>
      <c r="C45" s="106"/>
      <c r="D45" s="106"/>
      <c r="E45" s="106"/>
      <c r="F45" s="106"/>
      <c r="G45" s="106"/>
      <c r="H45" s="106"/>
      <c r="I45" s="106"/>
      <c r="J45" s="107"/>
      <c r="S45" s="2"/>
    </row>
    <row r="46" spans="1:19" ht="19.5" customHeight="1">
      <c r="A46" s="108" t="s">
        <v>146</v>
      </c>
      <c r="B46" s="109"/>
      <c r="C46" s="109"/>
      <c r="D46" s="109"/>
      <c r="E46" s="109"/>
      <c r="F46" s="109"/>
      <c r="G46" s="109"/>
      <c r="H46" s="109"/>
      <c r="I46" s="109"/>
      <c r="J46" s="110"/>
      <c r="S46" s="3"/>
    </row>
    <row r="47" spans="1:19" s="75" customFormat="1" ht="23.25" customHeight="1">
      <c r="A47" s="111" t="s">
        <v>58</v>
      </c>
      <c r="B47" s="112"/>
      <c r="C47" s="112"/>
      <c r="D47" s="112"/>
      <c r="E47" s="112"/>
      <c r="F47" s="112" t="s">
        <v>59</v>
      </c>
      <c r="G47" s="112"/>
      <c r="H47" s="112"/>
      <c r="I47" s="112"/>
      <c r="J47" s="113"/>
      <c r="S47" s="41"/>
    </row>
    <row r="48" spans="1:19" ht="23.25" customHeight="1">
      <c r="A48" s="114" t="s">
        <v>60</v>
      </c>
      <c r="B48" s="115"/>
      <c r="C48" s="116" t="str">
        <f>A4</f>
        <v>㈜강구토건 대표 이진호</v>
      </c>
      <c r="D48" s="116"/>
      <c r="E48" s="116"/>
      <c r="F48" s="76" t="s">
        <v>61</v>
      </c>
      <c r="G48" s="117" t="s">
        <v>105</v>
      </c>
      <c r="H48" s="117"/>
      <c r="I48" s="117"/>
      <c r="J48" s="118"/>
      <c r="S48" s="3"/>
    </row>
    <row r="49" spans="1:19" ht="23.25" customHeight="1">
      <c r="A49" s="100" t="s">
        <v>62</v>
      </c>
      <c r="B49" s="101"/>
      <c r="C49" s="102" t="s">
        <v>84</v>
      </c>
      <c r="D49" s="102"/>
      <c r="E49" s="102"/>
      <c r="F49" s="77" t="s">
        <v>63</v>
      </c>
      <c r="G49" s="103"/>
      <c r="H49" s="103"/>
      <c r="I49" s="103"/>
      <c r="J49" s="104"/>
      <c r="S49" s="3"/>
    </row>
    <row r="50" spans="1:19" ht="23.25" customHeight="1">
      <c r="A50" s="100" t="s">
        <v>64</v>
      </c>
      <c r="B50" s="101"/>
      <c r="C50" s="103"/>
      <c r="D50" s="103"/>
      <c r="E50" s="103"/>
      <c r="F50" s="78" t="s">
        <v>65</v>
      </c>
      <c r="G50" s="103"/>
      <c r="H50" s="103"/>
      <c r="I50" s="103"/>
      <c r="J50" s="104"/>
      <c r="S50" s="3"/>
    </row>
    <row r="51" spans="1:19" ht="23.25" customHeight="1" thickBot="1">
      <c r="A51" s="95" t="s">
        <v>66</v>
      </c>
      <c r="B51" s="96"/>
      <c r="C51" s="97" t="s">
        <v>106</v>
      </c>
      <c r="D51" s="97"/>
      <c r="E51" s="97"/>
      <c r="F51" s="79" t="s">
        <v>67</v>
      </c>
      <c r="G51" s="98"/>
      <c r="H51" s="98"/>
      <c r="I51" s="98"/>
      <c r="J51" s="99"/>
      <c r="S51" s="3"/>
    </row>
  </sheetData>
  <mergeCells count="86">
    <mergeCell ref="A41:A44"/>
    <mergeCell ref="B42:C42"/>
    <mergeCell ref="D42:E42"/>
    <mergeCell ref="F42:G42"/>
    <mergeCell ref="H42:I42"/>
    <mergeCell ref="B43:C43"/>
    <mergeCell ref="D43:E43"/>
    <mergeCell ref="F43:G43"/>
    <mergeCell ref="H43:I43"/>
    <mergeCell ref="B44:J44"/>
    <mergeCell ref="B21:J21"/>
    <mergeCell ref="B20:J20"/>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R14:S14"/>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phoneticPr fontId="3" type="noConversion"/>
  <pageMargins left="0.70866141732283472" right="0.70866141732283472" top="0.39370078740157483" bottom="0.59055118110236227" header="0.31496062992125984" footer="0.31496062992125984"/>
  <pageSetup paperSize="9" scale="67" orientation="portrait" r:id="rId1"/>
  <colBreaks count="1" manualBreakCount="1">
    <brk id="10" max="1048575"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1"/>
  <sheetViews>
    <sheetView view="pageBreakPreview" zoomScaleNormal="100" zoomScaleSheetLayoutView="100" workbookViewId="0">
      <selection activeCell="B19" sqref="B19:J19"/>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96" t="s">
        <v>203</v>
      </c>
      <c r="B1" s="196"/>
      <c r="C1" s="196"/>
      <c r="D1" s="196"/>
      <c r="E1" s="196"/>
      <c r="F1" s="1"/>
      <c r="G1" s="1"/>
      <c r="H1" s="1"/>
      <c r="I1" s="1"/>
      <c r="J1" s="1"/>
      <c r="L1" s="197" t="s">
        <v>0</v>
      </c>
      <c r="M1" s="197"/>
      <c r="N1" s="197"/>
      <c r="O1" s="197"/>
      <c r="P1" s="197"/>
      <c r="Q1" s="197"/>
      <c r="S1" s="3"/>
    </row>
    <row r="2" spans="1:19" ht="27" customHeight="1">
      <c r="A2" s="198" t="s">
        <v>1</v>
      </c>
      <c r="B2" s="198"/>
      <c r="C2" s="198"/>
      <c r="D2" s="198"/>
      <c r="E2" s="198"/>
      <c r="F2" s="198"/>
      <c r="G2" s="198"/>
      <c r="H2" s="198"/>
      <c r="I2" s="198"/>
      <c r="J2" s="198"/>
      <c r="L2" s="197"/>
      <c r="M2" s="197"/>
      <c r="N2" s="197"/>
      <c r="O2" s="197"/>
      <c r="P2" s="197"/>
      <c r="Q2" s="197"/>
      <c r="S2" s="3"/>
    </row>
    <row r="3" spans="1:19" ht="6" customHeight="1" thickBot="1">
      <c r="A3" s="1"/>
      <c r="B3" s="1"/>
      <c r="C3" s="1"/>
      <c r="D3" s="1"/>
      <c r="E3" s="1"/>
      <c r="F3" s="1"/>
      <c r="G3" s="1"/>
      <c r="H3" s="1"/>
      <c r="I3" s="1"/>
      <c r="J3" s="1"/>
      <c r="K3" s="4"/>
      <c r="L3" s="199" t="s">
        <v>2</v>
      </c>
      <c r="M3" s="199"/>
      <c r="N3" s="199"/>
      <c r="O3" s="199"/>
      <c r="P3" s="199"/>
      <c r="S3" s="3"/>
    </row>
    <row r="4" spans="1:19" ht="17.25" customHeight="1">
      <c r="A4" s="200" t="s">
        <v>74</v>
      </c>
      <c r="B4" s="201"/>
      <c r="C4" s="202" t="s">
        <v>3</v>
      </c>
      <c r="D4" s="202"/>
      <c r="E4" s="88"/>
      <c r="F4" s="202" t="s">
        <v>5</v>
      </c>
      <c r="G4" s="202"/>
      <c r="H4" s="202"/>
      <c r="I4" s="202"/>
      <c r="J4" s="203"/>
      <c r="K4" s="5"/>
      <c r="L4" s="199"/>
      <c r="M4" s="199"/>
      <c r="N4" s="199"/>
      <c r="O4" s="199"/>
      <c r="P4" s="199"/>
      <c r="S4" s="3"/>
    </row>
    <row r="5" spans="1:19" ht="15" customHeight="1" thickBot="1">
      <c r="A5" s="204" t="s">
        <v>6</v>
      </c>
      <c r="B5" s="205"/>
      <c r="C5" s="205"/>
      <c r="D5" s="205"/>
      <c r="E5" s="205"/>
      <c r="F5" s="205"/>
      <c r="G5" s="205"/>
      <c r="H5" s="205"/>
      <c r="I5" s="205"/>
      <c r="J5" s="206"/>
      <c r="K5" s="5"/>
      <c r="L5" s="6" t="s">
        <v>2</v>
      </c>
      <c r="M5" s="7"/>
      <c r="N5" s="8"/>
      <c r="O5" s="9"/>
      <c r="P5" s="9"/>
      <c r="S5" s="3"/>
    </row>
    <row r="6" spans="1:19" ht="21.75" customHeight="1" thickBot="1">
      <c r="A6" s="10" t="s">
        <v>7</v>
      </c>
      <c r="B6" s="207"/>
      <c r="C6" s="208"/>
      <c r="D6" s="208"/>
      <c r="E6" s="209"/>
      <c r="F6" s="210" t="s">
        <v>8</v>
      </c>
      <c r="G6" s="211"/>
      <c r="H6" s="212"/>
      <c r="I6" s="213"/>
      <c r="J6" s="214"/>
      <c r="L6" s="11" t="s">
        <v>9</v>
      </c>
      <c r="M6" s="12"/>
      <c r="N6" s="13" t="s">
        <v>10</v>
      </c>
      <c r="O6" s="14">
        <v>8</v>
      </c>
      <c r="P6" s="15" t="s">
        <v>11</v>
      </c>
      <c r="Q6" s="16">
        <v>6</v>
      </c>
      <c r="S6" s="3"/>
    </row>
    <row r="7" spans="1:19" ht="21.75" customHeight="1">
      <c r="A7" s="17" t="s">
        <v>12</v>
      </c>
      <c r="B7" s="170"/>
      <c r="C7" s="170"/>
      <c r="D7" s="170"/>
      <c r="E7" s="170"/>
      <c r="F7" s="215" t="s">
        <v>13</v>
      </c>
      <c r="G7" s="215"/>
      <c r="H7" s="170" t="s">
        <v>14</v>
      </c>
      <c r="I7" s="170"/>
      <c r="J7" s="171"/>
      <c r="L7" s="18"/>
      <c r="M7" s="18"/>
      <c r="N7" s="18"/>
      <c r="O7" s="18"/>
      <c r="P7" s="18"/>
      <c r="S7" s="3"/>
    </row>
    <row r="8" spans="1:19" ht="18" customHeight="1" thickBot="1">
      <c r="A8" s="141" t="s">
        <v>15</v>
      </c>
      <c r="B8" s="182" t="s">
        <v>109</v>
      </c>
      <c r="C8" s="183"/>
      <c r="D8" s="184" t="s">
        <v>110</v>
      </c>
      <c r="E8" s="183"/>
      <c r="F8" s="19" t="s">
        <v>16</v>
      </c>
      <c r="G8" s="185" t="s">
        <v>17</v>
      </c>
      <c r="H8" s="185"/>
      <c r="I8" s="185"/>
      <c r="J8" s="186"/>
      <c r="L8" s="8"/>
      <c r="M8" s="8"/>
      <c r="N8" s="8"/>
      <c r="O8" s="8"/>
      <c r="P8" s="8"/>
      <c r="S8" s="3"/>
    </row>
    <row r="9" spans="1:19" ht="12" customHeight="1">
      <c r="A9" s="134"/>
      <c r="B9" s="187" t="s">
        <v>69</v>
      </c>
      <c r="C9" s="188"/>
      <c r="D9" s="188"/>
      <c r="E9" s="188"/>
      <c r="F9" s="188"/>
      <c r="G9" s="188"/>
      <c r="H9" s="188"/>
      <c r="I9" s="188"/>
      <c r="J9" s="189"/>
      <c r="L9" s="20" t="s">
        <v>18</v>
      </c>
      <c r="M9" s="21" t="s">
        <v>19</v>
      </c>
      <c r="N9" s="21" t="s">
        <v>20</v>
      </c>
      <c r="O9" s="21" t="s">
        <v>21</v>
      </c>
      <c r="P9" s="21" t="s">
        <v>22</v>
      </c>
      <c r="Q9" s="22" t="s">
        <v>23</v>
      </c>
      <c r="S9" s="3"/>
    </row>
    <row r="10" spans="1:19" ht="30" customHeight="1">
      <c r="A10" s="142"/>
      <c r="B10" s="190"/>
      <c r="C10" s="191"/>
      <c r="D10" s="191"/>
      <c r="E10" s="191"/>
      <c r="F10" s="191"/>
      <c r="G10" s="191"/>
      <c r="H10" s="191"/>
      <c r="I10" s="191"/>
      <c r="J10" s="192"/>
      <c r="K10" s="23" t="s">
        <v>14</v>
      </c>
      <c r="L10" s="24" t="s">
        <v>24</v>
      </c>
      <c r="M10" s="25">
        <v>48</v>
      </c>
      <c r="N10" s="26">
        <v>1</v>
      </c>
      <c r="O10" s="27">
        <v>4.34</v>
      </c>
      <c r="P10" s="28">
        <f>M10*O10</f>
        <v>208.32</v>
      </c>
      <c r="Q10" s="29">
        <f>P10/P15</f>
        <v>0.64827723561043615</v>
      </c>
      <c r="S10" s="3"/>
    </row>
    <row r="11" spans="1:19" ht="19.5" customHeight="1">
      <c r="A11" s="141" t="s">
        <v>25</v>
      </c>
      <c r="B11" s="172" t="s">
        <v>26</v>
      </c>
      <c r="C11" s="173"/>
      <c r="D11" s="173"/>
      <c r="E11" s="30">
        <f>D24</f>
        <v>103724.35769766978</v>
      </c>
      <c r="F11" s="31" t="s">
        <v>27</v>
      </c>
      <c r="G11" s="32">
        <f>E11/8</f>
        <v>12965.544712208723</v>
      </c>
      <c r="H11" s="174" t="s">
        <v>28</v>
      </c>
      <c r="I11" s="174"/>
      <c r="J11" s="175"/>
      <c r="L11" s="24" t="s">
        <v>29</v>
      </c>
      <c r="M11" s="25">
        <v>9.6</v>
      </c>
      <c r="N11" s="26">
        <v>1</v>
      </c>
      <c r="O11" s="27">
        <v>4.34</v>
      </c>
      <c r="P11" s="28">
        <f>M11*O11</f>
        <v>41.663999999999994</v>
      </c>
      <c r="Q11" s="33">
        <f>P11/P15</f>
        <v>0.12965544712208721</v>
      </c>
      <c r="S11" s="3"/>
    </row>
    <row r="12" spans="1:19" ht="17.25" customHeight="1">
      <c r="A12" s="134"/>
      <c r="B12" s="176" t="s">
        <v>30</v>
      </c>
      <c r="C12" s="177"/>
      <c r="D12" s="177"/>
      <c r="E12" s="177"/>
      <c r="F12" s="177"/>
      <c r="G12" s="177"/>
      <c r="H12" s="177"/>
      <c r="I12" s="177"/>
      <c r="J12" s="178"/>
      <c r="L12" s="24" t="s">
        <v>31</v>
      </c>
      <c r="M12" s="25">
        <v>12</v>
      </c>
      <c r="N12" s="26">
        <v>1</v>
      </c>
      <c r="O12" s="27">
        <v>3</v>
      </c>
      <c r="P12" s="28">
        <f>M12*N12*O12</f>
        <v>36</v>
      </c>
      <c r="Q12" s="33">
        <f>P12/P15</f>
        <v>0.11202947619996018</v>
      </c>
      <c r="R12" s="227"/>
      <c r="S12" s="228"/>
    </row>
    <row r="13" spans="1:19" ht="17.25" customHeight="1">
      <c r="A13" s="134"/>
      <c r="B13" s="176"/>
      <c r="C13" s="177"/>
      <c r="D13" s="177"/>
      <c r="E13" s="177"/>
      <c r="F13" s="177"/>
      <c r="G13" s="177"/>
      <c r="H13" s="177"/>
      <c r="I13" s="177"/>
      <c r="J13" s="178"/>
      <c r="L13" s="24" t="s">
        <v>32</v>
      </c>
      <c r="M13" s="25">
        <v>8</v>
      </c>
      <c r="N13" s="26">
        <v>0.5</v>
      </c>
      <c r="O13" s="27">
        <v>4.34</v>
      </c>
      <c r="P13" s="28">
        <f>M13*N13*O13</f>
        <v>17.36</v>
      </c>
      <c r="Q13" s="34">
        <f>P13/P15</f>
        <v>5.4023102967536346E-2</v>
      </c>
      <c r="S13" s="3"/>
    </row>
    <row r="14" spans="1:19" ht="17.25" customHeight="1">
      <c r="A14" s="134"/>
      <c r="B14" s="176"/>
      <c r="C14" s="177"/>
      <c r="D14" s="177"/>
      <c r="E14" s="177"/>
      <c r="F14" s="177"/>
      <c r="G14" s="177"/>
      <c r="H14" s="177"/>
      <c r="I14" s="177"/>
      <c r="J14" s="178"/>
      <c r="L14" s="24" t="s">
        <v>33</v>
      </c>
      <c r="M14" s="27">
        <v>0</v>
      </c>
      <c r="N14" s="26"/>
      <c r="O14" s="35">
        <v>0</v>
      </c>
      <c r="P14" s="28">
        <v>18</v>
      </c>
      <c r="Q14" s="34">
        <f>P14/P15</f>
        <v>5.6014738099980088E-2</v>
      </c>
      <c r="S14" s="3"/>
    </row>
    <row r="15" spans="1:19" ht="13.5" customHeight="1" thickBot="1">
      <c r="A15" s="134"/>
      <c r="B15" s="125" t="s">
        <v>82</v>
      </c>
      <c r="C15" s="126"/>
      <c r="D15" s="126"/>
      <c r="E15" s="126"/>
      <c r="F15" s="126"/>
      <c r="G15" s="126"/>
      <c r="H15" s="126"/>
      <c r="I15" s="126"/>
      <c r="J15" s="127"/>
      <c r="L15" s="36" t="s">
        <v>34</v>
      </c>
      <c r="M15" s="37"/>
      <c r="N15" s="37"/>
      <c r="O15" s="37">
        <v>0</v>
      </c>
      <c r="P15" s="38">
        <f>SUM(P10:P14)</f>
        <v>321.34399999999999</v>
      </c>
      <c r="Q15" s="39">
        <f>SUM(Q10:Q14)</f>
        <v>1</v>
      </c>
      <c r="S15" s="3"/>
    </row>
    <row r="16" spans="1:19" ht="13.5" customHeight="1">
      <c r="A16" s="134"/>
      <c r="B16" s="125"/>
      <c r="C16" s="126"/>
      <c r="D16" s="126"/>
      <c r="E16" s="126"/>
      <c r="F16" s="126"/>
      <c r="G16" s="126"/>
      <c r="H16" s="126"/>
      <c r="I16" s="126"/>
      <c r="J16" s="127"/>
      <c r="S16" s="3"/>
    </row>
    <row r="17" spans="1:19" ht="21" customHeight="1">
      <c r="A17" s="134"/>
      <c r="B17" s="125" t="s">
        <v>35</v>
      </c>
      <c r="C17" s="126"/>
      <c r="D17" s="126"/>
      <c r="E17" s="126"/>
      <c r="F17" s="126"/>
      <c r="G17" s="126"/>
      <c r="H17" s="126"/>
      <c r="I17" s="126"/>
      <c r="J17" s="127"/>
      <c r="L17" s="162"/>
      <c r="M17" s="163"/>
      <c r="N17" s="40" t="s">
        <v>86</v>
      </c>
      <c r="O17" s="41"/>
      <c r="P17" s="41"/>
      <c r="Q17" s="42">
        <v>9620</v>
      </c>
      <c r="S17" s="3"/>
    </row>
    <row r="18" spans="1:19" ht="15.75" customHeight="1">
      <c r="A18" s="134"/>
      <c r="B18" s="164" t="s">
        <v>97</v>
      </c>
      <c r="C18" s="165"/>
      <c r="D18" s="165"/>
      <c r="E18" s="165"/>
      <c r="F18" s="165"/>
      <c r="G18" s="43">
        <v>160000</v>
      </c>
      <c r="H18" s="166" t="s">
        <v>37</v>
      </c>
      <c r="I18" s="166"/>
      <c r="J18" s="167"/>
      <c r="L18" s="162"/>
      <c r="M18" s="163"/>
      <c r="P18" s="44"/>
      <c r="S18" s="3"/>
    </row>
    <row r="19" spans="1:19" ht="15.75" customHeight="1">
      <c r="A19" s="134"/>
      <c r="B19" s="179" t="s">
        <v>112</v>
      </c>
      <c r="C19" s="180"/>
      <c r="D19" s="180"/>
      <c r="E19" s="180"/>
      <c r="F19" s="180"/>
      <c r="G19" s="180"/>
      <c r="H19" s="180"/>
      <c r="I19" s="180"/>
      <c r="J19" s="181"/>
      <c r="L19" s="45" t="s">
        <v>39</v>
      </c>
      <c r="M19" s="45"/>
      <c r="N19" s="45"/>
      <c r="O19" s="45"/>
      <c r="P19" s="45"/>
      <c r="Q19" s="46"/>
      <c r="S19" s="3"/>
    </row>
    <row r="20" spans="1:19" ht="15.75" customHeight="1">
      <c r="A20" s="82"/>
      <c r="B20" s="179" t="s">
        <v>73</v>
      </c>
      <c r="C20" s="180"/>
      <c r="D20" s="180"/>
      <c r="E20" s="180"/>
      <c r="F20" s="180"/>
      <c r="G20" s="180"/>
      <c r="H20" s="180"/>
      <c r="I20" s="180"/>
      <c r="J20" s="181"/>
      <c r="L20" s="45" t="s">
        <v>44</v>
      </c>
      <c r="M20" s="45"/>
      <c r="N20" s="45"/>
      <c r="O20" s="45"/>
      <c r="P20" s="45"/>
      <c r="Q20" s="46"/>
      <c r="S20" s="3"/>
    </row>
    <row r="21" spans="1:19" ht="15.75" customHeight="1">
      <c r="A21" s="82"/>
      <c r="B21" s="229" t="s">
        <v>111</v>
      </c>
      <c r="C21" s="230"/>
      <c r="D21" s="230"/>
      <c r="E21" s="230"/>
      <c r="F21" s="230"/>
      <c r="G21" s="230"/>
      <c r="H21" s="230"/>
      <c r="I21" s="230"/>
      <c r="J21" s="231"/>
      <c r="L21" s="45" t="s">
        <v>46</v>
      </c>
      <c r="M21" s="45"/>
      <c r="N21" s="45"/>
      <c r="O21" s="45"/>
      <c r="P21" s="45"/>
      <c r="Q21" s="46"/>
      <c r="S21" s="3"/>
    </row>
    <row r="22" spans="1:19" ht="18.75" customHeight="1">
      <c r="A22" s="119" t="s">
        <v>40</v>
      </c>
      <c r="B22" s="146" t="s">
        <v>41</v>
      </c>
      <c r="C22" s="147"/>
      <c r="D22" s="47" t="s">
        <v>24</v>
      </c>
      <c r="E22" s="47" t="s">
        <v>42</v>
      </c>
      <c r="F22" s="47" t="s">
        <v>31</v>
      </c>
      <c r="G22" s="148" t="s">
        <v>43</v>
      </c>
      <c r="H22" s="149"/>
      <c r="I22" s="148" t="s">
        <v>33</v>
      </c>
      <c r="J22" s="150"/>
      <c r="L22" s="45" t="s">
        <v>48</v>
      </c>
      <c r="M22" s="45"/>
      <c r="N22" s="45"/>
      <c r="O22" s="45"/>
      <c r="P22" s="45"/>
      <c r="Q22" s="46"/>
      <c r="R22" s="45"/>
      <c r="S22" s="2"/>
    </row>
    <row r="23" spans="1:19" ht="18.75" customHeight="1">
      <c r="A23" s="120"/>
      <c r="B23" s="151" t="s">
        <v>45</v>
      </c>
      <c r="C23" s="152"/>
      <c r="D23" s="48">
        <f>Q10</f>
        <v>0.64827723561043615</v>
      </c>
      <c r="E23" s="48">
        <f>Q11</f>
        <v>0.12965544712208721</v>
      </c>
      <c r="F23" s="48">
        <f>Q12</f>
        <v>0.11202947619996018</v>
      </c>
      <c r="G23" s="153">
        <f>Q13</f>
        <v>5.4023102967536346E-2</v>
      </c>
      <c r="H23" s="154"/>
      <c r="I23" s="153">
        <f>Q14</f>
        <v>5.6014738099980088E-2</v>
      </c>
      <c r="J23" s="155"/>
      <c r="L23" s="45"/>
      <c r="M23" s="45"/>
      <c r="N23" s="45"/>
      <c r="O23" s="45"/>
      <c r="P23" s="45"/>
      <c r="Q23" s="45"/>
      <c r="R23" s="45"/>
      <c r="S23" s="2"/>
    </row>
    <row r="24" spans="1:19" ht="18.75" customHeight="1">
      <c r="A24" s="121"/>
      <c r="B24" s="49" t="s">
        <v>47</v>
      </c>
      <c r="C24" s="50">
        <f>G11</f>
        <v>12965.544712208723</v>
      </c>
      <c r="D24" s="51">
        <f>G18*$D$23</f>
        <v>103724.35769766978</v>
      </c>
      <c r="E24" s="52">
        <f>G18*$E$23</f>
        <v>20744.871539533953</v>
      </c>
      <c r="F24" s="51">
        <f>G18*$F$23</f>
        <v>17924.71619199363</v>
      </c>
      <c r="G24" s="156">
        <f>G18*$G$23</f>
        <v>8643.6964748058163</v>
      </c>
      <c r="H24" s="157"/>
      <c r="I24" s="158">
        <f>G18*$I$23</f>
        <v>8962.3580959968149</v>
      </c>
      <c r="J24" s="159"/>
      <c r="L24" s="45">
        <f>8200000/25</f>
        <v>328000</v>
      </c>
      <c r="M24" s="45"/>
      <c r="N24" s="45"/>
      <c r="O24" s="45"/>
      <c r="P24" s="45"/>
      <c r="Q24" s="45"/>
      <c r="R24" s="45"/>
      <c r="S24" s="2"/>
    </row>
    <row r="25" spans="1:19" ht="54.75" customHeight="1">
      <c r="A25" s="119" t="s">
        <v>49</v>
      </c>
      <c r="B25" s="122" t="s">
        <v>113</v>
      </c>
      <c r="C25" s="123"/>
      <c r="D25" s="123"/>
      <c r="E25" s="123"/>
      <c r="F25" s="123"/>
      <c r="G25" s="123"/>
      <c r="H25" s="123"/>
      <c r="I25" s="123"/>
      <c r="J25" s="124"/>
      <c r="L25" s="45" t="s">
        <v>14</v>
      </c>
      <c r="M25" s="45"/>
      <c r="N25" s="45"/>
      <c r="O25" s="45"/>
      <c r="P25" s="45"/>
      <c r="Q25" s="46"/>
      <c r="S25" s="2"/>
    </row>
    <row r="26" spans="1:19" ht="66.75" customHeight="1">
      <c r="A26" s="134"/>
      <c r="B26" s="125"/>
      <c r="C26" s="126"/>
      <c r="D26" s="126"/>
      <c r="E26" s="126"/>
      <c r="F26" s="126"/>
      <c r="G26" s="126"/>
      <c r="H26" s="126"/>
      <c r="I26" s="126"/>
      <c r="J26" s="127"/>
      <c r="L26" s="45" t="s">
        <v>14</v>
      </c>
      <c r="M26" s="45"/>
      <c r="N26" s="45"/>
      <c r="O26" s="45"/>
      <c r="P26" s="45"/>
      <c r="Q26" s="46"/>
      <c r="S26" s="2"/>
    </row>
    <row r="27" spans="1:19" ht="27.75" customHeight="1">
      <c r="A27" s="141" t="s">
        <v>50</v>
      </c>
      <c r="B27" s="122" t="s">
        <v>70</v>
      </c>
      <c r="C27" s="123"/>
      <c r="D27" s="123"/>
      <c r="E27" s="123"/>
      <c r="F27" s="123"/>
      <c r="G27" s="123"/>
      <c r="H27" s="123"/>
      <c r="I27" s="123"/>
      <c r="J27" s="124"/>
      <c r="L27" s="3">
        <f>C24*8</f>
        <v>103724.35769766978</v>
      </c>
      <c r="M27" s="53">
        <f>E24*5</f>
        <v>103724.35769766977</v>
      </c>
      <c r="N27" s="45"/>
      <c r="O27" s="53"/>
      <c r="P27" s="54"/>
      <c r="Q27" s="53"/>
      <c r="R27" s="55"/>
      <c r="S27" s="56"/>
    </row>
    <row r="28" spans="1:19" ht="27.75" customHeight="1">
      <c r="A28" s="142"/>
      <c r="B28" s="128"/>
      <c r="C28" s="129"/>
      <c r="D28" s="129"/>
      <c r="E28" s="129"/>
      <c r="F28" s="129"/>
      <c r="G28" s="129"/>
      <c r="H28" s="129"/>
      <c r="I28" s="129"/>
      <c r="J28" s="130"/>
      <c r="L28" s="3"/>
      <c r="M28" s="54"/>
      <c r="R28" s="55"/>
      <c r="S28" s="56"/>
    </row>
    <row r="29" spans="1:19" ht="40.5" customHeight="1">
      <c r="A29" s="57" t="s">
        <v>51</v>
      </c>
      <c r="B29" s="122" t="s">
        <v>68</v>
      </c>
      <c r="C29" s="123"/>
      <c r="D29" s="123"/>
      <c r="E29" s="123"/>
      <c r="F29" s="123"/>
      <c r="G29" s="123"/>
      <c r="H29" s="123"/>
      <c r="I29" s="123"/>
      <c r="J29" s="124"/>
      <c r="L29" s="143" t="s">
        <v>52</v>
      </c>
      <c r="M29" s="143"/>
      <c r="N29" s="143"/>
      <c r="O29" s="143"/>
      <c r="P29" s="143"/>
      <c r="Q29" s="143"/>
      <c r="R29" s="55"/>
      <c r="S29" s="56"/>
    </row>
    <row r="30" spans="1:19" ht="23.25" customHeight="1">
      <c r="A30" s="119" t="s">
        <v>53</v>
      </c>
      <c r="B30" s="122" t="s">
        <v>71</v>
      </c>
      <c r="C30" s="123"/>
      <c r="D30" s="123"/>
      <c r="E30" s="123"/>
      <c r="F30" s="123"/>
      <c r="G30" s="123"/>
      <c r="H30" s="123"/>
      <c r="I30" s="123"/>
      <c r="J30" s="124"/>
      <c r="L30" s="143"/>
      <c r="M30" s="143"/>
      <c r="N30" s="143"/>
      <c r="O30" s="143"/>
      <c r="P30" s="143"/>
      <c r="Q30" s="143"/>
      <c r="R30" s="55"/>
      <c r="S30" s="55"/>
    </row>
    <row r="31" spans="1:19" ht="23.25" customHeight="1">
      <c r="A31" s="120"/>
      <c r="B31" s="125"/>
      <c r="C31" s="126"/>
      <c r="D31" s="126"/>
      <c r="E31" s="126"/>
      <c r="F31" s="126"/>
      <c r="G31" s="126"/>
      <c r="H31" s="126"/>
      <c r="I31" s="126"/>
      <c r="J31" s="127"/>
      <c r="L31" s="143"/>
      <c r="M31" s="143"/>
      <c r="N31" s="143"/>
      <c r="O31" s="143"/>
      <c r="P31" s="143"/>
      <c r="Q31" s="143"/>
      <c r="S31" s="2"/>
    </row>
    <row r="32" spans="1:19" ht="23.25" customHeight="1">
      <c r="A32" s="120"/>
      <c r="B32" s="125"/>
      <c r="C32" s="126"/>
      <c r="D32" s="126"/>
      <c r="E32" s="126"/>
      <c r="F32" s="126"/>
      <c r="G32" s="126"/>
      <c r="H32" s="126"/>
      <c r="I32" s="126"/>
      <c r="J32" s="127"/>
      <c r="L32" s="143"/>
      <c r="M32" s="143"/>
      <c r="N32" s="143"/>
      <c r="O32" s="143"/>
      <c r="P32" s="143"/>
      <c r="Q32" s="143"/>
      <c r="S32" s="2"/>
    </row>
    <row r="33" spans="1:19" ht="23.25" customHeight="1">
      <c r="A33" s="120"/>
      <c r="B33" s="125"/>
      <c r="C33" s="126"/>
      <c r="D33" s="126"/>
      <c r="E33" s="126"/>
      <c r="F33" s="126"/>
      <c r="G33" s="126"/>
      <c r="H33" s="126"/>
      <c r="I33" s="126"/>
      <c r="J33" s="127"/>
      <c r="L33" s="18"/>
      <c r="M33" s="18"/>
      <c r="N33" s="18"/>
      <c r="O33" s="18"/>
      <c r="P33" s="18"/>
      <c r="S33" s="2"/>
    </row>
    <row r="34" spans="1:19" ht="23.25" customHeight="1">
      <c r="A34" s="120"/>
      <c r="B34" s="125"/>
      <c r="C34" s="126"/>
      <c r="D34" s="126"/>
      <c r="E34" s="126"/>
      <c r="F34" s="126"/>
      <c r="G34" s="126"/>
      <c r="H34" s="126"/>
      <c r="I34" s="126"/>
      <c r="J34" s="127"/>
      <c r="L34" s="58"/>
      <c r="M34" s="58"/>
      <c r="N34" s="58"/>
      <c r="O34" s="144"/>
      <c r="P34" s="144"/>
      <c r="Q34" s="59"/>
      <c r="S34" s="2"/>
    </row>
    <row r="35" spans="1:19" ht="28.5" customHeight="1">
      <c r="A35" s="121"/>
      <c r="B35" s="128"/>
      <c r="C35" s="129"/>
      <c r="D35" s="129"/>
      <c r="E35" s="129"/>
      <c r="F35" s="129"/>
      <c r="G35" s="129"/>
      <c r="H35" s="129"/>
      <c r="I35" s="129"/>
      <c r="J35" s="130"/>
      <c r="L35" s="60"/>
      <c r="M35" s="60"/>
      <c r="N35" s="60"/>
      <c r="O35" s="145"/>
      <c r="P35" s="145"/>
      <c r="Q35" s="61"/>
      <c r="S35" s="2"/>
    </row>
    <row r="36" spans="1:19" ht="21" customHeight="1">
      <c r="A36" s="119" t="s">
        <v>54</v>
      </c>
      <c r="B36" s="122" t="s">
        <v>114</v>
      </c>
      <c r="C36" s="123"/>
      <c r="D36" s="123"/>
      <c r="E36" s="123"/>
      <c r="F36" s="123"/>
      <c r="G36" s="123"/>
      <c r="H36" s="123"/>
      <c r="I36" s="123"/>
      <c r="J36" s="124"/>
      <c r="L36" s="62"/>
      <c r="M36" s="63"/>
      <c r="N36" s="62"/>
      <c r="O36" s="131"/>
      <c r="P36" s="131"/>
      <c r="Q36" s="64"/>
      <c r="R36" s="65"/>
      <c r="S36" s="2"/>
    </row>
    <row r="37" spans="1:19" ht="19.5" customHeight="1">
      <c r="A37" s="120"/>
      <c r="B37" s="125"/>
      <c r="C37" s="126"/>
      <c r="D37" s="126"/>
      <c r="E37" s="126"/>
      <c r="F37" s="126"/>
      <c r="G37" s="126"/>
      <c r="H37" s="126"/>
      <c r="I37" s="126"/>
      <c r="J37" s="127"/>
      <c r="L37" s="66"/>
      <c r="M37" s="67"/>
      <c r="N37" s="66"/>
      <c r="O37" s="132"/>
      <c r="P37" s="132"/>
      <c r="Q37" s="68"/>
      <c r="R37" s="69"/>
      <c r="S37" s="2"/>
    </row>
    <row r="38" spans="1:19" ht="19.5" customHeight="1">
      <c r="A38" s="120"/>
      <c r="B38" s="125"/>
      <c r="C38" s="126"/>
      <c r="D38" s="126"/>
      <c r="E38" s="126"/>
      <c r="F38" s="126"/>
      <c r="G38" s="126"/>
      <c r="H38" s="126"/>
      <c r="I38" s="126"/>
      <c r="J38" s="127"/>
      <c r="L38" s="70"/>
      <c r="M38" s="71"/>
      <c r="N38" s="70"/>
      <c r="O38" s="133"/>
      <c r="P38" s="133"/>
      <c r="Q38" s="72"/>
      <c r="R38" s="73"/>
      <c r="S38" s="2"/>
    </row>
    <row r="39" spans="1:19" ht="19.5" customHeight="1">
      <c r="A39" s="120"/>
      <c r="B39" s="125"/>
      <c r="C39" s="126"/>
      <c r="D39" s="126"/>
      <c r="E39" s="126"/>
      <c r="F39" s="126"/>
      <c r="G39" s="126"/>
      <c r="H39" s="126"/>
      <c r="I39" s="126"/>
      <c r="J39" s="127"/>
      <c r="L39" s="70"/>
      <c r="M39" s="71"/>
      <c r="N39" s="70"/>
      <c r="O39" s="70"/>
      <c r="P39" s="70"/>
      <c r="Q39" s="72"/>
      <c r="R39" s="73"/>
      <c r="S39" s="2"/>
    </row>
    <row r="40" spans="1:19" ht="19.5" customHeight="1">
      <c r="A40" s="121"/>
      <c r="B40" s="128"/>
      <c r="C40" s="129"/>
      <c r="D40" s="129"/>
      <c r="E40" s="129"/>
      <c r="F40" s="129"/>
      <c r="G40" s="129"/>
      <c r="H40" s="129"/>
      <c r="I40" s="129"/>
      <c r="J40" s="130"/>
      <c r="L40" s="70"/>
      <c r="M40" s="71"/>
      <c r="N40" s="70"/>
      <c r="O40" s="133"/>
      <c r="P40" s="133"/>
      <c r="Q40" s="72"/>
      <c r="R40" s="73"/>
      <c r="S40" s="2"/>
    </row>
    <row r="41" spans="1:19" ht="17.100000000000001" customHeight="1">
      <c r="A41" s="119" t="s">
        <v>75</v>
      </c>
      <c r="B41" s="220" t="s">
        <v>76</v>
      </c>
      <c r="C41" s="221"/>
      <c r="D41" s="84"/>
      <c r="E41" s="84"/>
      <c r="F41" s="84"/>
      <c r="G41" s="84"/>
      <c r="H41" s="84"/>
      <c r="I41" s="84"/>
      <c r="J41" s="85"/>
      <c r="L41" s="70"/>
      <c r="M41" s="71"/>
      <c r="N41" s="70"/>
      <c r="O41" s="70"/>
      <c r="P41" s="70"/>
      <c r="Q41" s="72"/>
      <c r="R41" s="73"/>
      <c r="S41" s="2"/>
    </row>
    <row r="42" spans="1:19" ht="19.5" customHeight="1">
      <c r="A42" s="120"/>
      <c r="B42" s="216" t="s">
        <v>77</v>
      </c>
      <c r="C42" s="217"/>
      <c r="D42" s="216" t="s">
        <v>78</v>
      </c>
      <c r="E42" s="217"/>
      <c r="F42" s="216" t="s">
        <v>79</v>
      </c>
      <c r="G42" s="217"/>
      <c r="H42" s="216" t="s">
        <v>80</v>
      </c>
      <c r="I42" s="217"/>
      <c r="J42" s="87" t="s">
        <v>81</v>
      </c>
      <c r="L42" s="70"/>
      <c r="M42" s="71"/>
      <c r="N42" s="70"/>
      <c r="O42" s="70"/>
      <c r="P42" s="70"/>
      <c r="Q42" s="72"/>
      <c r="R42" s="73"/>
      <c r="S42" s="2"/>
    </row>
    <row r="43" spans="1:19" ht="19.5" customHeight="1">
      <c r="A43" s="120"/>
      <c r="B43" s="218" t="s">
        <v>87</v>
      </c>
      <c r="C43" s="219"/>
      <c r="D43" s="218" t="s">
        <v>87</v>
      </c>
      <c r="E43" s="219"/>
      <c r="F43" s="218" t="s">
        <v>87</v>
      </c>
      <c r="G43" s="219"/>
      <c r="H43" s="218" t="s">
        <v>87</v>
      </c>
      <c r="I43" s="219"/>
      <c r="J43" s="92" t="s">
        <v>87</v>
      </c>
      <c r="L43" s="70"/>
      <c r="M43" s="71"/>
      <c r="N43" s="70"/>
      <c r="O43" s="70"/>
      <c r="P43" s="70"/>
      <c r="Q43" s="72"/>
      <c r="R43" s="73"/>
      <c r="S43" s="2"/>
    </row>
    <row r="44" spans="1:19" ht="19.5" customHeight="1">
      <c r="A44" s="121"/>
      <c r="B44" s="220" t="s">
        <v>115</v>
      </c>
      <c r="C44" s="221"/>
      <c r="D44" s="221"/>
      <c r="E44" s="221"/>
      <c r="F44" s="221"/>
      <c r="G44" s="221"/>
      <c r="H44" s="221"/>
      <c r="I44" s="221"/>
      <c r="J44" s="222"/>
      <c r="L44" s="70"/>
      <c r="M44" s="71"/>
      <c r="N44" s="70"/>
      <c r="O44" s="70"/>
      <c r="P44" s="70"/>
      <c r="Q44" s="72"/>
      <c r="R44" s="73"/>
      <c r="S44" s="2"/>
    </row>
    <row r="45" spans="1:19" ht="21" customHeight="1">
      <c r="A45" s="74" t="s">
        <v>56</v>
      </c>
      <c r="B45" s="105" t="s">
        <v>116</v>
      </c>
      <c r="C45" s="106"/>
      <c r="D45" s="106"/>
      <c r="E45" s="106"/>
      <c r="F45" s="106"/>
      <c r="G45" s="106"/>
      <c r="H45" s="106"/>
      <c r="I45" s="106"/>
      <c r="J45" s="107"/>
      <c r="S45" s="2"/>
    </row>
    <row r="46" spans="1:19" ht="19.5" customHeight="1">
      <c r="A46" s="108" t="s">
        <v>147</v>
      </c>
      <c r="B46" s="109"/>
      <c r="C46" s="109"/>
      <c r="D46" s="109"/>
      <c r="E46" s="109"/>
      <c r="F46" s="109"/>
      <c r="G46" s="109"/>
      <c r="H46" s="109"/>
      <c r="I46" s="109"/>
      <c r="J46" s="110"/>
      <c r="S46" s="3"/>
    </row>
    <row r="47" spans="1:19" s="75" customFormat="1" ht="23.25" customHeight="1">
      <c r="A47" s="111" t="s">
        <v>58</v>
      </c>
      <c r="B47" s="112"/>
      <c r="C47" s="112"/>
      <c r="D47" s="112"/>
      <c r="E47" s="112"/>
      <c r="F47" s="112" t="s">
        <v>59</v>
      </c>
      <c r="G47" s="112"/>
      <c r="H47" s="112"/>
      <c r="I47" s="112"/>
      <c r="J47" s="113"/>
      <c r="S47" s="41"/>
    </row>
    <row r="48" spans="1:19" ht="23.25" customHeight="1">
      <c r="A48" s="114" t="s">
        <v>60</v>
      </c>
      <c r="B48" s="115"/>
      <c r="C48" s="116" t="str">
        <f>A4</f>
        <v>㈜강구토건 대표 이진호</v>
      </c>
      <c r="D48" s="116"/>
      <c r="E48" s="116"/>
      <c r="F48" s="76" t="s">
        <v>61</v>
      </c>
      <c r="G48" s="225" t="s">
        <v>118</v>
      </c>
      <c r="H48" s="225"/>
      <c r="I48" s="225"/>
      <c r="J48" s="226"/>
      <c r="S48" s="3"/>
    </row>
    <row r="49" spans="1:19" ht="23.25" customHeight="1">
      <c r="A49" s="100" t="s">
        <v>62</v>
      </c>
      <c r="B49" s="101"/>
      <c r="C49" s="102" t="s">
        <v>84</v>
      </c>
      <c r="D49" s="102"/>
      <c r="E49" s="102"/>
      <c r="F49" s="77" t="s">
        <v>63</v>
      </c>
      <c r="G49" s="103"/>
      <c r="H49" s="103"/>
      <c r="I49" s="103"/>
      <c r="J49" s="104"/>
      <c r="S49" s="3"/>
    </row>
    <row r="50" spans="1:19" ht="23.25" customHeight="1">
      <c r="A50" s="100" t="s">
        <v>64</v>
      </c>
      <c r="B50" s="101"/>
      <c r="C50" s="103"/>
      <c r="D50" s="103"/>
      <c r="E50" s="103"/>
      <c r="F50" s="78" t="s">
        <v>65</v>
      </c>
      <c r="G50" s="103"/>
      <c r="H50" s="103"/>
      <c r="I50" s="103"/>
      <c r="J50" s="104"/>
      <c r="S50" s="3"/>
    </row>
    <row r="51" spans="1:19" ht="23.25" customHeight="1" thickBot="1">
      <c r="A51" s="95" t="s">
        <v>66</v>
      </c>
      <c r="B51" s="96"/>
      <c r="C51" s="97" t="s">
        <v>117</v>
      </c>
      <c r="D51" s="97"/>
      <c r="E51" s="97"/>
      <c r="F51" s="79" t="s">
        <v>67</v>
      </c>
      <c r="G51" s="223"/>
      <c r="H51" s="223"/>
      <c r="I51" s="223"/>
      <c r="J51" s="224"/>
      <c r="S51" s="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phoneticPr fontId="3" type="noConversion"/>
  <pageMargins left="0.7" right="0.7" top="0.75" bottom="0.75" header="0.3" footer="0.3"/>
  <pageSetup paperSize="9" scale="65" orientation="portrait" r:id="rId1"/>
  <colBreaks count="1" manualBreakCount="1">
    <brk id="10" max="1048575" man="1"/>
  </col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1"/>
  <sheetViews>
    <sheetView view="pageBreakPreview" zoomScaleNormal="100" zoomScaleSheetLayoutView="100" workbookViewId="0">
      <selection activeCell="P12" sqref="P12"/>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96" t="s">
        <v>203</v>
      </c>
      <c r="B1" s="196"/>
      <c r="C1" s="196"/>
      <c r="D1" s="196"/>
      <c r="E1" s="196"/>
      <c r="F1" s="1"/>
      <c r="G1" s="1"/>
      <c r="H1" s="1"/>
      <c r="I1" s="1"/>
      <c r="J1" s="1"/>
      <c r="L1" s="197" t="s">
        <v>0</v>
      </c>
      <c r="M1" s="197"/>
      <c r="N1" s="197"/>
      <c r="O1" s="197"/>
      <c r="P1" s="197"/>
      <c r="Q1" s="197"/>
      <c r="S1" s="3"/>
    </row>
    <row r="2" spans="1:19" ht="27" customHeight="1">
      <c r="A2" s="198" t="s">
        <v>1</v>
      </c>
      <c r="B2" s="198"/>
      <c r="C2" s="198"/>
      <c r="D2" s="198"/>
      <c r="E2" s="198"/>
      <c r="F2" s="198"/>
      <c r="G2" s="198"/>
      <c r="H2" s="198"/>
      <c r="I2" s="198"/>
      <c r="J2" s="198"/>
      <c r="L2" s="197"/>
      <c r="M2" s="197"/>
      <c r="N2" s="197"/>
      <c r="O2" s="197"/>
      <c r="P2" s="197"/>
      <c r="Q2" s="197"/>
      <c r="S2" s="3"/>
    </row>
    <row r="3" spans="1:19" ht="6" customHeight="1" thickBot="1">
      <c r="A3" s="1"/>
      <c r="B3" s="1"/>
      <c r="C3" s="1"/>
      <c r="D3" s="1"/>
      <c r="E3" s="1"/>
      <c r="F3" s="1"/>
      <c r="G3" s="1"/>
      <c r="H3" s="1"/>
      <c r="I3" s="1"/>
      <c r="J3" s="1"/>
      <c r="K3" s="4"/>
      <c r="L3" s="199" t="s">
        <v>2</v>
      </c>
      <c r="M3" s="199"/>
      <c r="N3" s="199"/>
      <c r="O3" s="199"/>
      <c r="P3" s="199"/>
      <c r="S3" s="3"/>
    </row>
    <row r="4" spans="1:19" ht="17.25" customHeight="1">
      <c r="A4" s="200" t="s">
        <v>74</v>
      </c>
      <c r="B4" s="201"/>
      <c r="C4" s="202" t="s">
        <v>3</v>
      </c>
      <c r="D4" s="202"/>
      <c r="E4" s="88" t="s">
        <v>4</v>
      </c>
      <c r="F4" s="202" t="s">
        <v>5</v>
      </c>
      <c r="G4" s="202"/>
      <c r="H4" s="202"/>
      <c r="I4" s="202"/>
      <c r="J4" s="203"/>
      <c r="K4" s="5"/>
      <c r="L4" s="199"/>
      <c r="M4" s="199"/>
      <c r="N4" s="199"/>
      <c r="O4" s="199"/>
      <c r="P4" s="199"/>
      <c r="S4" s="3"/>
    </row>
    <row r="5" spans="1:19" ht="15" customHeight="1" thickBot="1">
      <c r="A5" s="204" t="s">
        <v>6</v>
      </c>
      <c r="B5" s="205"/>
      <c r="C5" s="205"/>
      <c r="D5" s="205"/>
      <c r="E5" s="205"/>
      <c r="F5" s="205"/>
      <c r="G5" s="205"/>
      <c r="H5" s="205"/>
      <c r="I5" s="205"/>
      <c r="J5" s="206"/>
      <c r="K5" s="5"/>
      <c r="L5" s="6" t="s">
        <v>2</v>
      </c>
      <c r="M5" s="7"/>
      <c r="N5" s="8"/>
      <c r="O5" s="9"/>
      <c r="P5" s="9"/>
      <c r="S5" s="3"/>
    </row>
    <row r="6" spans="1:19" ht="21.75" customHeight="1" thickBot="1">
      <c r="A6" s="10" t="s">
        <v>7</v>
      </c>
      <c r="B6" s="207"/>
      <c r="C6" s="208"/>
      <c r="D6" s="208"/>
      <c r="E6" s="209"/>
      <c r="F6" s="210" t="s">
        <v>8</v>
      </c>
      <c r="G6" s="211"/>
      <c r="H6" s="212"/>
      <c r="I6" s="213"/>
      <c r="J6" s="214"/>
      <c r="L6" s="11" t="s">
        <v>9</v>
      </c>
      <c r="M6" s="12"/>
      <c r="N6" s="13" t="s">
        <v>10</v>
      </c>
      <c r="O6" s="14">
        <v>8</v>
      </c>
      <c r="P6" s="15" t="s">
        <v>11</v>
      </c>
      <c r="Q6" s="16">
        <v>6</v>
      </c>
      <c r="S6" s="3"/>
    </row>
    <row r="7" spans="1:19" ht="21.75" customHeight="1">
      <c r="A7" s="17" t="s">
        <v>12</v>
      </c>
      <c r="B7" s="170"/>
      <c r="C7" s="170"/>
      <c r="D7" s="170"/>
      <c r="E7" s="170"/>
      <c r="F7" s="215" t="s">
        <v>13</v>
      </c>
      <c r="G7" s="215"/>
      <c r="H7" s="170" t="s">
        <v>14</v>
      </c>
      <c r="I7" s="170"/>
      <c r="J7" s="171"/>
      <c r="L7" s="18"/>
      <c r="M7" s="18"/>
      <c r="N7" s="18"/>
      <c r="O7" s="18"/>
      <c r="P7" s="18"/>
      <c r="S7" s="3"/>
    </row>
    <row r="8" spans="1:19" ht="18" customHeight="1" thickBot="1">
      <c r="A8" s="141" t="s">
        <v>15</v>
      </c>
      <c r="B8" s="182" t="s">
        <v>126</v>
      </c>
      <c r="C8" s="183"/>
      <c r="D8" s="184" t="s">
        <v>127</v>
      </c>
      <c r="E8" s="183"/>
      <c r="F8" s="19" t="s">
        <v>16</v>
      </c>
      <c r="G8" s="185" t="s">
        <v>17</v>
      </c>
      <c r="H8" s="185"/>
      <c r="I8" s="185"/>
      <c r="J8" s="186"/>
      <c r="L8" s="8"/>
      <c r="M8" s="8"/>
      <c r="N8" s="8"/>
      <c r="O8" s="8"/>
      <c r="P8" s="8"/>
      <c r="S8" s="3"/>
    </row>
    <row r="9" spans="1:19" ht="12" customHeight="1">
      <c r="A9" s="134"/>
      <c r="B9" s="187" t="s">
        <v>69</v>
      </c>
      <c r="C9" s="188"/>
      <c r="D9" s="188"/>
      <c r="E9" s="188"/>
      <c r="F9" s="188"/>
      <c r="G9" s="188"/>
      <c r="H9" s="188"/>
      <c r="I9" s="188"/>
      <c r="J9" s="189"/>
      <c r="L9" s="20" t="s">
        <v>18</v>
      </c>
      <c r="M9" s="21" t="s">
        <v>19</v>
      </c>
      <c r="N9" s="21" t="s">
        <v>20</v>
      </c>
      <c r="O9" s="21" t="s">
        <v>21</v>
      </c>
      <c r="P9" s="21" t="s">
        <v>22</v>
      </c>
      <c r="Q9" s="22" t="s">
        <v>23</v>
      </c>
      <c r="S9" s="3"/>
    </row>
    <row r="10" spans="1:19" ht="30" customHeight="1">
      <c r="A10" s="142"/>
      <c r="B10" s="190"/>
      <c r="C10" s="191"/>
      <c r="D10" s="191"/>
      <c r="E10" s="191"/>
      <c r="F10" s="191"/>
      <c r="G10" s="191"/>
      <c r="H10" s="191"/>
      <c r="I10" s="191"/>
      <c r="J10" s="192"/>
      <c r="K10" s="23" t="s">
        <v>14</v>
      </c>
      <c r="L10" s="24" t="s">
        <v>24</v>
      </c>
      <c r="M10" s="25">
        <v>48</v>
      </c>
      <c r="N10" s="26">
        <v>1</v>
      </c>
      <c r="O10" s="27">
        <v>4.34</v>
      </c>
      <c r="P10" s="28">
        <f>M10*O10</f>
        <v>208.32</v>
      </c>
      <c r="Q10" s="29">
        <f>P10/P15</f>
        <v>0.70060266896254841</v>
      </c>
      <c r="S10" s="3"/>
    </row>
    <row r="11" spans="1:19" ht="19.5" customHeight="1">
      <c r="A11" s="141" t="s">
        <v>25</v>
      </c>
      <c r="B11" s="172" t="s">
        <v>26</v>
      </c>
      <c r="C11" s="173"/>
      <c r="D11" s="173"/>
      <c r="E11" s="30">
        <f>D24</f>
        <v>112096.42703400775</v>
      </c>
      <c r="F11" s="31" t="s">
        <v>27</v>
      </c>
      <c r="G11" s="32">
        <f>E11/8</f>
        <v>14012.053379250969</v>
      </c>
      <c r="H11" s="174" t="s">
        <v>28</v>
      </c>
      <c r="I11" s="174"/>
      <c r="J11" s="175"/>
      <c r="L11" s="24" t="s">
        <v>29</v>
      </c>
      <c r="M11" s="25">
        <v>9.6</v>
      </c>
      <c r="N11" s="26">
        <v>1</v>
      </c>
      <c r="O11" s="27">
        <v>4.34</v>
      </c>
      <c r="P11" s="28">
        <f>M11*O11</f>
        <v>41.663999999999994</v>
      </c>
      <c r="Q11" s="33">
        <f>P11/P15</f>
        <v>0.14012053379250966</v>
      </c>
      <c r="S11" s="3"/>
    </row>
    <row r="12" spans="1:19" ht="17.25" customHeight="1">
      <c r="A12" s="134"/>
      <c r="B12" s="176" t="s">
        <v>30</v>
      </c>
      <c r="C12" s="177"/>
      <c r="D12" s="177"/>
      <c r="E12" s="177"/>
      <c r="F12" s="177"/>
      <c r="G12" s="177"/>
      <c r="H12" s="177"/>
      <c r="I12" s="177"/>
      <c r="J12" s="178"/>
      <c r="L12" s="24" t="s">
        <v>31</v>
      </c>
      <c r="M12" s="25">
        <v>12</v>
      </c>
      <c r="N12" s="26">
        <v>1</v>
      </c>
      <c r="O12" s="27">
        <v>1</v>
      </c>
      <c r="P12" s="28">
        <f>M12*N12*O12</f>
        <v>12</v>
      </c>
      <c r="Q12" s="33">
        <f>P12/P15</f>
        <v>4.0357296599225143E-2</v>
      </c>
      <c r="R12" s="227"/>
      <c r="S12" s="228"/>
    </row>
    <row r="13" spans="1:19" ht="17.25" customHeight="1">
      <c r="A13" s="134"/>
      <c r="B13" s="176"/>
      <c r="C13" s="177"/>
      <c r="D13" s="177"/>
      <c r="E13" s="177"/>
      <c r="F13" s="177"/>
      <c r="G13" s="177"/>
      <c r="H13" s="177"/>
      <c r="I13" s="177"/>
      <c r="J13" s="178"/>
      <c r="L13" s="24" t="s">
        <v>32</v>
      </c>
      <c r="M13" s="25">
        <v>8</v>
      </c>
      <c r="N13" s="26">
        <v>0.5</v>
      </c>
      <c r="O13" s="27">
        <v>4.34</v>
      </c>
      <c r="P13" s="28">
        <f>M13*N13*O13</f>
        <v>17.36</v>
      </c>
      <c r="Q13" s="34">
        <f>P13/P15</f>
        <v>5.8383555746879034E-2</v>
      </c>
      <c r="S13" s="3"/>
    </row>
    <row r="14" spans="1:19" ht="17.25" customHeight="1">
      <c r="A14" s="134"/>
      <c r="B14" s="176"/>
      <c r="C14" s="177"/>
      <c r="D14" s="177"/>
      <c r="E14" s="177"/>
      <c r="F14" s="177"/>
      <c r="G14" s="177"/>
      <c r="H14" s="177"/>
      <c r="I14" s="177"/>
      <c r="J14" s="178"/>
      <c r="L14" s="24" t="s">
        <v>33</v>
      </c>
      <c r="M14" s="27">
        <v>0</v>
      </c>
      <c r="N14" s="26"/>
      <c r="O14" s="35">
        <v>0</v>
      </c>
      <c r="P14" s="28">
        <v>18</v>
      </c>
      <c r="Q14" s="34">
        <f>P14/P15</f>
        <v>6.0535944898837714E-2</v>
      </c>
      <c r="S14" s="3"/>
    </row>
    <row r="15" spans="1:19" ht="13.5" customHeight="1" thickBot="1">
      <c r="A15" s="134"/>
      <c r="B15" s="125" t="s">
        <v>82</v>
      </c>
      <c r="C15" s="126"/>
      <c r="D15" s="126"/>
      <c r="E15" s="126"/>
      <c r="F15" s="126"/>
      <c r="G15" s="126"/>
      <c r="H15" s="126"/>
      <c r="I15" s="126"/>
      <c r="J15" s="127"/>
      <c r="L15" s="36" t="s">
        <v>34</v>
      </c>
      <c r="M15" s="37"/>
      <c r="N15" s="37"/>
      <c r="O15" s="37">
        <v>0</v>
      </c>
      <c r="P15" s="38">
        <f>SUM(P10:P14)</f>
        <v>297.34399999999999</v>
      </c>
      <c r="Q15" s="39">
        <f>SUM(Q10:Q14)</f>
        <v>1</v>
      </c>
      <c r="S15" s="3"/>
    </row>
    <row r="16" spans="1:19" ht="13.5" customHeight="1">
      <c r="A16" s="134"/>
      <c r="B16" s="125"/>
      <c r="C16" s="126"/>
      <c r="D16" s="126"/>
      <c r="E16" s="126"/>
      <c r="F16" s="126"/>
      <c r="G16" s="126"/>
      <c r="H16" s="126"/>
      <c r="I16" s="126"/>
      <c r="J16" s="127"/>
      <c r="S16" s="3"/>
    </row>
    <row r="17" spans="1:19" ht="21" customHeight="1">
      <c r="A17" s="134"/>
      <c r="B17" s="125" t="s">
        <v>35</v>
      </c>
      <c r="C17" s="126"/>
      <c r="D17" s="126"/>
      <c r="E17" s="126"/>
      <c r="F17" s="126"/>
      <c r="G17" s="126"/>
      <c r="H17" s="126"/>
      <c r="I17" s="126"/>
      <c r="J17" s="127"/>
      <c r="L17" s="162"/>
      <c r="M17" s="163"/>
      <c r="N17" s="40" t="s">
        <v>86</v>
      </c>
      <c r="O17" s="41"/>
      <c r="P17" s="41"/>
      <c r="Q17" s="42">
        <v>9620</v>
      </c>
      <c r="S17" s="3"/>
    </row>
    <row r="18" spans="1:19" ht="15.75" customHeight="1">
      <c r="A18" s="134"/>
      <c r="B18" s="164" t="s">
        <v>97</v>
      </c>
      <c r="C18" s="165"/>
      <c r="D18" s="165"/>
      <c r="E18" s="165"/>
      <c r="F18" s="165"/>
      <c r="G18" s="43">
        <v>160000</v>
      </c>
      <c r="H18" s="166" t="s">
        <v>37</v>
      </c>
      <c r="I18" s="166"/>
      <c r="J18" s="167"/>
      <c r="L18" s="162"/>
      <c r="M18" s="163"/>
      <c r="P18" s="44"/>
      <c r="S18" s="3"/>
    </row>
    <row r="19" spans="1:19" ht="15.75" customHeight="1">
      <c r="A19" s="134"/>
      <c r="B19" s="179" t="s">
        <v>119</v>
      </c>
      <c r="C19" s="180"/>
      <c r="D19" s="180"/>
      <c r="E19" s="180"/>
      <c r="F19" s="180"/>
      <c r="G19" s="180"/>
      <c r="H19" s="180"/>
      <c r="I19" s="180"/>
      <c r="J19" s="181"/>
      <c r="L19" s="45" t="s">
        <v>39</v>
      </c>
      <c r="M19" s="45"/>
      <c r="N19" s="45"/>
      <c r="O19" s="45"/>
      <c r="P19" s="45"/>
      <c r="Q19" s="46"/>
      <c r="S19" s="3"/>
    </row>
    <row r="20" spans="1:19" ht="15.75" customHeight="1">
      <c r="A20" s="82"/>
      <c r="B20" s="179" t="s">
        <v>73</v>
      </c>
      <c r="C20" s="180"/>
      <c r="D20" s="180"/>
      <c r="E20" s="180"/>
      <c r="F20" s="180"/>
      <c r="G20" s="180"/>
      <c r="H20" s="180"/>
      <c r="I20" s="180"/>
      <c r="J20" s="181"/>
      <c r="L20" s="45"/>
      <c r="M20" s="45"/>
      <c r="N20" s="45"/>
      <c r="O20" s="45"/>
      <c r="P20" s="45"/>
      <c r="Q20" s="46"/>
      <c r="S20" s="3"/>
    </row>
    <row r="21" spans="1:19" ht="15.75" customHeight="1">
      <c r="A21" s="82"/>
      <c r="B21" s="193" t="s">
        <v>72</v>
      </c>
      <c r="C21" s="194"/>
      <c r="D21" s="194"/>
      <c r="E21" s="194"/>
      <c r="F21" s="194"/>
      <c r="G21" s="194"/>
      <c r="H21" s="194"/>
      <c r="I21" s="194"/>
      <c r="J21" s="195"/>
      <c r="L21" s="45"/>
      <c r="M21" s="45"/>
      <c r="N21" s="45"/>
      <c r="O21" s="45"/>
      <c r="P21" s="45"/>
      <c r="Q21" s="46"/>
      <c r="S21" s="3"/>
    </row>
    <row r="22" spans="1:19" ht="18.75" customHeight="1">
      <c r="A22" s="119" t="s">
        <v>40</v>
      </c>
      <c r="B22" s="146" t="s">
        <v>41</v>
      </c>
      <c r="C22" s="147"/>
      <c r="D22" s="47" t="s">
        <v>24</v>
      </c>
      <c r="E22" s="47" t="s">
        <v>42</v>
      </c>
      <c r="F22" s="47" t="s">
        <v>31</v>
      </c>
      <c r="G22" s="148" t="s">
        <v>43</v>
      </c>
      <c r="H22" s="149"/>
      <c r="I22" s="148" t="s">
        <v>33</v>
      </c>
      <c r="J22" s="150"/>
      <c r="L22" s="45" t="s">
        <v>44</v>
      </c>
      <c r="M22" s="45"/>
      <c r="N22" s="45"/>
      <c r="O22" s="45"/>
      <c r="P22" s="45"/>
      <c r="Q22" s="46"/>
      <c r="R22" s="45"/>
      <c r="S22" s="2"/>
    </row>
    <row r="23" spans="1:19" ht="18.75" customHeight="1">
      <c r="A23" s="120"/>
      <c r="B23" s="151" t="s">
        <v>45</v>
      </c>
      <c r="C23" s="152"/>
      <c r="D23" s="48">
        <f>Q10</f>
        <v>0.70060266896254841</v>
      </c>
      <c r="E23" s="48">
        <f>Q11</f>
        <v>0.14012053379250966</v>
      </c>
      <c r="F23" s="48">
        <f>Q12</f>
        <v>4.0357296599225143E-2</v>
      </c>
      <c r="G23" s="153">
        <f>Q13</f>
        <v>5.8383555746879034E-2</v>
      </c>
      <c r="H23" s="154"/>
      <c r="I23" s="153">
        <f>Q14</f>
        <v>6.0535944898837714E-2</v>
      </c>
      <c r="J23" s="155"/>
      <c r="L23" s="45" t="s">
        <v>46</v>
      </c>
      <c r="M23" s="45"/>
      <c r="N23" s="45"/>
      <c r="O23" s="45"/>
      <c r="P23" s="45"/>
      <c r="Q23" s="45"/>
      <c r="R23" s="45"/>
      <c r="S23" s="2"/>
    </row>
    <row r="24" spans="1:19" ht="18.75" customHeight="1">
      <c r="A24" s="121"/>
      <c r="B24" s="49" t="s">
        <v>47</v>
      </c>
      <c r="C24" s="50">
        <f>G11</f>
        <v>14012.053379250969</v>
      </c>
      <c r="D24" s="51">
        <f>G18*$D$23</f>
        <v>112096.42703400775</v>
      </c>
      <c r="E24" s="52">
        <f>G18*$E$23</f>
        <v>22419.285406801544</v>
      </c>
      <c r="F24" s="51">
        <f>G18*$F$23</f>
        <v>6457.1674558760224</v>
      </c>
      <c r="G24" s="156">
        <f>G18*$G$23</f>
        <v>9341.3689195006464</v>
      </c>
      <c r="H24" s="157"/>
      <c r="I24" s="158">
        <f>G18*$I$23</f>
        <v>9685.7511838140344</v>
      </c>
      <c r="J24" s="159"/>
      <c r="L24" s="45" t="s">
        <v>48</v>
      </c>
      <c r="M24" s="45"/>
      <c r="N24" s="45"/>
      <c r="O24" s="45"/>
      <c r="P24" s="45"/>
      <c r="Q24" s="45"/>
      <c r="R24" s="45"/>
      <c r="S24" s="2"/>
    </row>
    <row r="25" spans="1:19" ht="54.75" customHeight="1">
      <c r="A25" s="119" t="s">
        <v>49</v>
      </c>
      <c r="B25" s="135" t="s">
        <v>120</v>
      </c>
      <c r="C25" s="136"/>
      <c r="D25" s="136"/>
      <c r="E25" s="136"/>
      <c r="F25" s="136"/>
      <c r="G25" s="136"/>
      <c r="H25" s="136"/>
      <c r="I25" s="136"/>
      <c r="J25" s="137"/>
      <c r="L25" s="45" t="s">
        <v>14</v>
      </c>
      <c r="M25" s="45"/>
      <c r="N25" s="45"/>
      <c r="O25" s="45"/>
      <c r="P25" s="45"/>
      <c r="Q25" s="46"/>
      <c r="S25" s="2"/>
    </row>
    <row r="26" spans="1:19" ht="66.75" customHeight="1">
      <c r="A26" s="134"/>
      <c r="B26" s="138"/>
      <c r="C26" s="139"/>
      <c r="D26" s="139"/>
      <c r="E26" s="139"/>
      <c r="F26" s="139"/>
      <c r="G26" s="139"/>
      <c r="H26" s="139"/>
      <c r="I26" s="139"/>
      <c r="J26" s="140"/>
      <c r="L26" s="45" t="s">
        <v>14</v>
      </c>
      <c r="M26" s="45"/>
      <c r="N26" s="45"/>
      <c r="O26" s="45"/>
      <c r="P26" s="45"/>
      <c r="Q26" s="46"/>
      <c r="S26" s="2"/>
    </row>
    <row r="27" spans="1:19" ht="27.75" customHeight="1">
      <c r="A27" s="141" t="s">
        <v>50</v>
      </c>
      <c r="B27" s="122" t="s">
        <v>70</v>
      </c>
      <c r="C27" s="123"/>
      <c r="D27" s="123"/>
      <c r="E27" s="123"/>
      <c r="F27" s="123"/>
      <c r="G27" s="123"/>
      <c r="H27" s="123"/>
      <c r="I27" s="123"/>
      <c r="J27" s="124"/>
      <c r="L27" s="3">
        <f>C24*8</f>
        <v>112096.42703400775</v>
      </c>
      <c r="M27" s="53">
        <f>E24*5</f>
        <v>112096.42703400772</v>
      </c>
      <c r="N27" s="45"/>
      <c r="O27" s="53"/>
      <c r="P27" s="54"/>
      <c r="Q27" s="53"/>
      <c r="R27" s="55"/>
      <c r="S27" s="56"/>
    </row>
    <row r="28" spans="1:19" ht="27.75" customHeight="1">
      <c r="A28" s="142"/>
      <c r="B28" s="128"/>
      <c r="C28" s="129"/>
      <c r="D28" s="129"/>
      <c r="E28" s="129"/>
      <c r="F28" s="129"/>
      <c r="G28" s="129"/>
      <c r="H28" s="129"/>
      <c r="I28" s="129"/>
      <c r="J28" s="130"/>
      <c r="L28" s="3"/>
      <c r="M28" s="54"/>
      <c r="R28" s="55"/>
      <c r="S28" s="56"/>
    </row>
    <row r="29" spans="1:19" ht="40.5" customHeight="1">
      <c r="A29" s="57" t="s">
        <v>51</v>
      </c>
      <c r="B29" s="122" t="s">
        <v>68</v>
      </c>
      <c r="C29" s="123"/>
      <c r="D29" s="123"/>
      <c r="E29" s="123"/>
      <c r="F29" s="123"/>
      <c r="G29" s="123"/>
      <c r="H29" s="123"/>
      <c r="I29" s="123"/>
      <c r="J29" s="124"/>
      <c r="L29" s="143" t="s">
        <v>52</v>
      </c>
      <c r="M29" s="143"/>
      <c r="N29" s="143"/>
      <c r="O29" s="143"/>
      <c r="P29" s="143"/>
      <c r="Q29" s="143"/>
      <c r="R29" s="55"/>
      <c r="S29" s="56"/>
    </row>
    <row r="30" spans="1:19" ht="23.25" customHeight="1">
      <c r="A30" s="119" t="s">
        <v>53</v>
      </c>
      <c r="B30" s="122" t="s">
        <v>71</v>
      </c>
      <c r="C30" s="123"/>
      <c r="D30" s="123"/>
      <c r="E30" s="123"/>
      <c r="F30" s="123"/>
      <c r="G30" s="123"/>
      <c r="H30" s="123"/>
      <c r="I30" s="123"/>
      <c r="J30" s="124"/>
      <c r="L30" s="143"/>
      <c r="M30" s="143"/>
      <c r="N30" s="143"/>
      <c r="O30" s="143"/>
      <c r="P30" s="143"/>
      <c r="Q30" s="143"/>
      <c r="R30" s="55"/>
      <c r="S30" s="55"/>
    </row>
    <row r="31" spans="1:19" ht="23.25" customHeight="1">
      <c r="A31" s="120"/>
      <c r="B31" s="125"/>
      <c r="C31" s="126"/>
      <c r="D31" s="126"/>
      <c r="E31" s="126"/>
      <c r="F31" s="126"/>
      <c r="G31" s="126"/>
      <c r="H31" s="126"/>
      <c r="I31" s="126"/>
      <c r="J31" s="127"/>
      <c r="L31" s="143"/>
      <c r="M31" s="143"/>
      <c r="N31" s="143"/>
      <c r="O31" s="143"/>
      <c r="P31" s="143"/>
      <c r="Q31" s="143"/>
      <c r="S31" s="2"/>
    </row>
    <row r="32" spans="1:19" ht="23.25" customHeight="1">
      <c r="A32" s="120"/>
      <c r="B32" s="125"/>
      <c r="C32" s="126"/>
      <c r="D32" s="126"/>
      <c r="E32" s="126"/>
      <c r="F32" s="126"/>
      <c r="G32" s="126"/>
      <c r="H32" s="126"/>
      <c r="I32" s="126"/>
      <c r="J32" s="127"/>
      <c r="L32" s="143"/>
      <c r="M32" s="143"/>
      <c r="N32" s="143"/>
      <c r="O32" s="143"/>
      <c r="P32" s="143"/>
      <c r="Q32" s="143"/>
      <c r="S32" s="2"/>
    </row>
    <row r="33" spans="1:19" ht="23.25" customHeight="1">
      <c r="A33" s="120"/>
      <c r="B33" s="125"/>
      <c r="C33" s="126"/>
      <c r="D33" s="126"/>
      <c r="E33" s="126"/>
      <c r="F33" s="126"/>
      <c r="G33" s="126"/>
      <c r="H33" s="126"/>
      <c r="I33" s="126"/>
      <c r="J33" s="127"/>
      <c r="L33" s="18"/>
      <c r="M33" s="18"/>
      <c r="N33" s="18"/>
      <c r="O33" s="18"/>
      <c r="P33" s="18"/>
      <c r="S33" s="2"/>
    </row>
    <row r="34" spans="1:19" ht="23.25" customHeight="1">
      <c r="A34" s="120"/>
      <c r="B34" s="125"/>
      <c r="C34" s="126"/>
      <c r="D34" s="126"/>
      <c r="E34" s="126"/>
      <c r="F34" s="126"/>
      <c r="G34" s="126"/>
      <c r="H34" s="126"/>
      <c r="I34" s="126"/>
      <c r="J34" s="127"/>
      <c r="L34" s="58"/>
      <c r="M34" s="58"/>
      <c r="N34" s="58"/>
      <c r="O34" s="144"/>
      <c r="P34" s="144"/>
      <c r="Q34" s="59"/>
      <c r="S34" s="2"/>
    </row>
    <row r="35" spans="1:19" ht="28.5" customHeight="1">
      <c r="A35" s="121"/>
      <c r="B35" s="128"/>
      <c r="C35" s="129"/>
      <c r="D35" s="129"/>
      <c r="E35" s="129"/>
      <c r="F35" s="129"/>
      <c r="G35" s="129"/>
      <c r="H35" s="129"/>
      <c r="I35" s="129"/>
      <c r="J35" s="130"/>
      <c r="L35" s="60"/>
      <c r="M35" s="60"/>
      <c r="N35" s="60"/>
      <c r="O35" s="145"/>
      <c r="P35" s="145"/>
      <c r="Q35" s="61"/>
      <c r="S35" s="2"/>
    </row>
    <row r="36" spans="1:19" ht="21" customHeight="1">
      <c r="A36" s="119" t="s">
        <v>54</v>
      </c>
      <c r="B36" s="122" t="s">
        <v>121</v>
      </c>
      <c r="C36" s="123"/>
      <c r="D36" s="123"/>
      <c r="E36" s="123"/>
      <c r="F36" s="123"/>
      <c r="G36" s="123"/>
      <c r="H36" s="123"/>
      <c r="I36" s="123"/>
      <c r="J36" s="124"/>
      <c r="L36" s="62"/>
      <c r="M36" s="63"/>
      <c r="N36" s="62"/>
      <c r="O36" s="131"/>
      <c r="P36" s="131"/>
      <c r="Q36" s="64"/>
      <c r="R36" s="65"/>
      <c r="S36" s="2"/>
    </row>
    <row r="37" spans="1:19" ht="19.5" customHeight="1">
      <c r="A37" s="120"/>
      <c r="B37" s="125"/>
      <c r="C37" s="126"/>
      <c r="D37" s="126"/>
      <c r="E37" s="126"/>
      <c r="F37" s="126"/>
      <c r="G37" s="126"/>
      <c r="H37" s="126"/>
      <c r="I37" s="126"/>
      <c r="J37" s="127"/>
      <c r="L37" s="66"/>
      <c r="M37" s="67"/>
      <c r="N37" s="66"/>
      <c r="O37" s="132"/>
      <c r="P37" s="132"/>
      <c r="Q37" s="68"/>
      <c r="R37" s="69"/>
      <c r="S37" s="2"/>
    </row>
    <row r="38" spans="1:19" ht="19.5" customHeight="1">
      <c r="A38" s="120"/>
      <c r="B38" s="125"/>
      <c r="C38" s="126"/>
      <c r="D38" s="126"/>
      <c r="E38" s="126"/>
      <c r="F38" s="126"/>
      <c r="G38" s="126"/>
      <c r="H38" s="126"/>
      <c r="I38" s="126"/>
      <c r="J38" s="127"/>
      <c r="L38" s="70"/>
      <c r="M38" s="71"/>
      <c r="N38" s="70"/>
      <c r="O38" s="133"/>
      <c r="P38" s="133"/>
      <c r="Q38" s="72"/>
      <c r="R38" s="73"/>
      <c r="S38" s="2"/>
    </row>
    <row r="39" spans="1:19" ht="19.5" customHeight="1">
      <c r="A39" s="120"/>
      <c r="B39" s="125"/>
      <c r="C39" s="126"/>
      <c r="D39" s="126"/>
      <c r="E39" s="126"/>
      <c r="F39" s="126"/>
      <c r="G39" s="126"/>
      <c r="H39" s="126"/>
      <c r="I39" s="126"/>
      <c r="J39" s="127"/>
      <c r="L39" s="70"/>
      <c r="M39" s="71"/>
      <c r="N39" s="70"/>
      <c r="O39" s="70"/>
      <c r="P39" s="70"/>
      <c r="Q39" s="72"/>
      <c r="R39" s="73"/>
      <c r="S39" s="2"/>
    </row>
    <row r="40" spans="1:19" ht="19.5" customHeight="1">
      <c r="A40" s="121"/>
      <c r="B40" s="128"/>
      <c r="C40" s="129"/>
      <c r="D40" s="129"/>
      <c r="E40" s="129"/>
      <c r="F40" s="129"/>
      <c r="G40" s="129"/>
      <c r="H40" s="129"/>
      <c r="I40" s="129"/>
      <c r="J40" s="130"/>
      <c r="L40" s="70"/>
      <c r="M40" s="71"/>
      <c r="N40" s="70"/>
      <c r="O40" s="133"/>
      <c r="P40" s="133"/>
      <c r="Q40" s="72"/>
      <c r="R40" s="73"/>
      <c r="S40" s="2"/>
    </row>
    <row r="41" spans="1:19" ht="17.100000000000001" customHeight="1">
      <c r="A41" s="119" t="s">
        <v>75</v>
      </c>
      <c r="B41" s="220" t="s">
        <v>76</v>
      </c>
      <c r="C41" s="221"/>
      <c r="D41" s="84"/>
      <c r="E41" s="84"/>
      <c r="F41" s="84"/>
      <c r="G41" s="84"/>
      <c r="H41" s="84"/>
      <c r="I41" s="84"/>
      <c r="J41" s="85"/>
      <c r="L41" s="70"/>
      <c r="M41" s="71"/>
      <c r="N41" s="70"/>
      <c r="O41" s="70"/>
      <c r="P41" s="70"/>
      <c r="Q41" s="72"/>
      <c r="R41" s="73"/>
      <c r="S41" s="2"/>
    </row>
    <row r="42" spans="1:19" ht="19.5" customHeight="1">
      <c r="A42" s="120"/>
      <c r="B42" s="216" t="s">
        <v>77</v>
      </c>
      <c r="C42" s="217"/>
      <c r="D42" s="216" t="s">
        <v>78</v>
      </c>
      <c r="E42" s="217"/>
      <c r="F42" s="216" t="s">
        <v>79</v>
      </c>
      <c r="G42" s="217"/>
      <c r="H42" s="216" t="s">
        <v>80</v>
      </c>
      <c r="I42" s="217"/>
      <c r="J42" s="86" t="s">
        <v>81</v>
      </c>
      <c r="L42" s="70"/>
      <c r="M42" s="71"/>
      <c r="N42" s="70"/>
      <c r="O42" s="70"/>
      <c r="P42" s="70"/>
      <c r="Q42" s="72"/>
      <c r="R42" s="73"/>
      <c r="S42" s="2"/>
    </row>
    <row r="43" spans="1:19" ht="19.5" customHeight="1">
      <c r="A43" s="120"/>
      <c r="B43" s="218" t="s">
        <v>87</v>
      </c>
      <c r="C43" s="219"/>
      <c r="D43" s="218" t="s">
        <v>87</v>
      </c>
      <c r="E43" s="219"/>
      <c r="F43" s="218" t="s">
        <v>87</v>
      </c>
      <c r="G43" s="219"/>
      <c r="H43" s="218" t="s">
        <v>87</v>
      </c>
      <c r="I43" s="219"/>
      <c r="J43" s="90" t="s">
        <v>87</v>
      </c>
      <c r="L43" s="70"/>
      <c r="M43" s="71"/>
      <c r="N43" s="70"/>
      <c r="O43" s="70"/>
      <c r="P43" s="70"/>
      <c r="Q43" s="72"/>
      <c r="R43" s="73"/>
      <c r="S43" s="2"/>
    </row>
    <row r="44" spans="1:19" ht="19.5" customHeight="1">
      <c r="A44" s="121"/>
      <c r="B44" s="220" t="s">
        <v>122</v>
      </c>
      <c r="C44" s="221"/>
      <c r="D44" s="221"/>
      <c r="E44" s="221"/>
      <c r="F44" s="221"/>
      <c r="G44" s="221"/>
      <c r="H44" s="221"/>
      <c r="I44" s="221"/>
      <c r="J44" s="222"/>
      <c r="L44" s="70"/>
      <c r="M44" s="71"/>
      <c r="N44" s="70"/>
      <c r="O44" s="70"/>
      <c r="P44" s="70"/>
      <c r="Q44" s="72"/>
      <c r="R44" s="73"/>
      <c r="S44" s="2"/>
    </row>
    <row r="45" spans="1:19" ht="21" customHeight="1">
      <c r="A45" s="74" t="s">
        <v>56</v>
      </c>
      <c r="B45" s="105" t="s">
        <v>123</v>
      </c>
      <c r="C45" s="106"/>
      <c r="D45" s="106"/>
      <c r="E45" s="106"/>
      <c r="F45" s="106"/>
      <c r="G45" s="106"/>
      <c r="H45" s="106"/>
      <c r="I45" s="106"/>
      <c r="J45" s="107"/>
      <c r="S45" s="2"/>
    </row>
    <row r="46" spans="1:19" ht="19.5" customHeight="1">
      <c r="A46" s="108" t="s">
        <v>148</v>
      </c>
      <c r="B46" s="109"/>
      <c r="C46" s="109"/>
      <c r="D46" s="109"/>
      <c r="E46" s="109"/>
      <c r="F46" s="109"/>
      <c r="G46" s="109"/>
      <c r="H46" s="109"/>
      <c r="I46" s="109"/>
      <c r="J46" s="110"/>
      <c r="S46" s="3"/>
    </row>
    <row r="47" spans="1:19" s="75" customFormat="1" ht="23.25" customHeight="1">
      <c r="A47" s="111" t="s">
        <v>58</v>
      </c>
      <c r="B47" s="112"/>
      <c r="C47" s="112"/>
      <c r="D47" s="112"/>
      <c r="E47" s="112"/>
      <c r="F47" s="112" t="s">
        <v>59</v>
      </c>
      <c r="G47" s="112"/>
      <c r="H47" s="112"/>
      <c r="I47" s="112"/>
      <c r="J47" s="113"/>
      <c r="S47" s="41"/>
    </row>
    <row r="48" spans="1:19" ht="23.25" customHeight="1">
      <c r="A48" s="114" t="s">
        <v>60</v>
      </c>
      <c r="B48" s="115"/>
      <c r="C48" s="116" t="str">
        <f>A4</f>
        <v>㈜강구토건 대표 이진호</v>
      </c>
      <c r="D48" s="116"/>
      <c r="E48" s="116"/>
      <c r="F48" s="76" t="s">
        <v>61</v>
      </c>
      <c r="G48" s="117" t="s">
        <v>125</v>
      </c>
      <c r="H48" s="117"/>
      <c r="I48" s="117"/>
      <c r="J48" s="118"/>
      <c r="S48" s="3"/>
    </row>
    <row r="49" spans="1:19" ht="23.25" customHeight="1">
      <c r="A49" s="100" t="s">
        <v>62</v>
      </c>
      <c r="B49" s="101"/>
      <c r="C49" s="102" t="s">
        <v>84</v>
      </c>
      <c r="D49" s="102"/>
      <c r="E49" s="102"/>
      <c r="F49" s="77" t="s">
        <v>63</v>
      </c>
      <c r="G49" s="234"/>
      <c r="H49" s="234"/>
      <c r="I49" s="234"/>
      <c r="J49" s="235"/>
      <c r="S49" s="3"/>
    </row>
    <row r="50" spans="1:19" ht="23.25" customHeight="1">
      <c r="A50" s="100" t="s">
        <v>64</v>
      </c>
      <c r="B50" s="101"/>
      <c r="C50" s="103"/>
      <c r="D50" s="103"/>
      <c r="E50" s="103"/>
      <c r="F50" s="78" t="s">
        <v>65</v>
      </c>
      <c r="G50" s="234"/>
      <c r="H50" s="234"/>
      <c r="I50" s="234"/>
      <c r="J50" s="235"/>
      <c r="S50" s="3"/>
    </row>
    <row r="51" spans="1:19" ht="23.25" customHeight="1" thickBot="1">
      <c r="A51" s="95" t="s">
        <v>66</v>
      </c>
      <c r="B51" s="96"/>
      <c r="C51" s="97" t="s">
        <v>124</v>
      </c>
      <c r="D51" s="97"/>
      <c r="E51" s="97"/>
      <c r="F51" s="79" t="s">
        <v>67</v>
      </c>
      <c r="G51" s="232"/>
      <c r="H51" s="232"/>
      <c r="I51" s="232"/>
      <c r="J51" s="233"/>
      <c r="S51" s="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phoneticPr fontId="3" type="noConversion"/>
  <pageMargins left="0.7" right="0.7" top="0.75" bottom="0.75" header="0.3" footer="0.3"/>
  <pageSetup paperSize="9" scale="65" orientation="portrait" r:id="rId1"/>
  <colBreaks count="1" manualBreakCount="1">
    <brk id="10" max="1048575" man="1"/>
  </col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1"/>
  <sheetViews>
    <sheetView view="pageBreakPreview" zoomScaleNormal="100" zoomScaleSheetLayoutView="100" workbookViewId="0">
      <selection activeCell="B25" sqref="B25:J26"/>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96" t="s">
        <v>203</v>
      </c>
      <c r="B1" s="196"/>
      <c r="C1" s="196"/>
      <c r="D1" s="196"/>
      <c r="E1" s="196"/>
      <c r="F1" s="1"/>
      <c r="G1" s="1"/>
      <c r="H1" s="1"/>
      <c r="I1" s="1"/>
      <c r="J1" s="1"/>
      <c r="L1" s="197" t="s">
        <v>0</v>
      </c>
      <c r="M1" s="197"/>
      <c r="N1" s="197"/>
      <c r="O1" s="197"/>
      <c r="P1" s="197"/>
      <c r="Q1" s="197"/>
      <c r="S1" s="3"/>
    </row>
    <row r="2" spans="1:19" ht="27" customHeight="1">
      <c r="A2" s="198" t="s">
        <v>1</v>
      </c>
      <c r="B2" s="198"/>
      <c r="C2" s="198"/>
      <c r="D2" s="198"/>
      <c r="E2" s="198"/>
      <c r="F2" s="198"/>
      <c r="G2" s="198"/>
      <c r="H2" s="198"/>
      <c r="I2" s="198"/>
      <c r="J2" s="198"/>
      <c r="L2" s="197"/>
      <c r="M2" s="197"/>
      <c r="N2" s="197"/>
      <c r="O2" s="197"/>
      <c r="P2" s="197"/>
      <c r="Q2" s="197"/>
      <c r="S2" s="3"/>
    </row>
    <row r="3" spans="1:19" ht="6" customHeight="1" thickBot="1">
      <c r="A3" s="1"/>
      <c r="B3" s="1"/>
      <c r="C3" s="1"/>
      <c r="D3" s="1"/>
      <c r="E3" s="1"/>
      <c r="F3" s="1"/>
      <c r="G3" s="1"/>
      <c r="H3" s="1"/>
      <c r="I3" s="1"/>
      <c r="J3" s="1"/>
      <c r="K3" s="4"/>
      <c r="L3" s="199" t="s">
        <v>2</v>
      </c>
      <c r="M3" s="199"/>
      <c r="N3" s="199"/>
      <c r="O3" s="199"/>
      <c r="P3" s="199"/>
      <c r="S3" s="3"/>
    </row>
    <row r="4" spans="1:19" ht="17.25" customHeight="1">
      <c r="A4" s="200" t="s">
        <v>74</v>
      </c>
      <c r="B4" s="201"/>
      <c r="C4" s="202" t="s">
        <v>3</v>
      </c>
      <c r="D4" s="202"/>
      <c r="E4" s="88" t="s">
        <v>4</v>
      </c>
      <c r="F4" s="202" t="s">
        <v>5</v>
      </c>
      <c r="G4" s="202"/>
      <c r="H4" s="202"/>
      <c r="I4" s="202"/>
      <c r="J4" s="203"/>
      <c r="K4" s="5"/>
      <c r="L4" s="199"/>
      <c r="M4" s="199"/>
      <c r="N4" s="199"/>
      <c r="O4" s="199"/>
      <c r="P4" s="199"/>
      <c r="S4" s="3"/>
    </row>
    <row r="5" spans="1:19" ht="15" customHeight="1" thickBot="1">
      <c r="A5" s="204" t="s">
        <v>6</v>
      </c>
      <c r="B5" s="205"/>
      <c r="C5" s="205"/>
      <c r="D5" s="205"/>
      <c r="E5" s="205"/>
      <c r="F5" s="205"/>
      <c r="G5" s="205"/>
      <c r="H5" s="205"/>
      <c r="I5" s="205"/>
      <c r="J5" s="206"/>
      <c r="K5" s="5"/>
      <c r="L5" s="6" t="s">
        <v>2</v>
      </c>
      <c r="M5" s="7"/>
      <c r="N5" s="8"/>
      <c r="O5" s="9"/>
      <c r="P5" s="9"/>
      <c r="S5" s="3"/>
    </row>
    <row r="6" spans="1:19" ht="21.75" customHeight="1" thickBot="1">
      <c r="A6" s="10" t="s">
        <v>7</v>
      </c>
      <c r="B6" s="207"/>
      <c r="C6" s="208"/>
      <c r="D6" s="208"/>
      <c r="E6" s="209"/>
      <c r="F6" s="210" t="s">
        <v>8</v>
      </c>
      <c r="G6" s="211"/>
      <c r="H6" s="212"/>
      <c r="I6" s="213"/>
      <c r="J6" s="214"/>
      <c r="L6" s="11" t="s">
        <v>9</v>
      </c>
      <c r="M6" s="12"/>
      <c r="N6" s="13" t="s">
        <v>10</v>
      </c>
      <c r="O6" s="14">
        <v>8</v>
      </c>
      <c r="P6" s="15" t="s">
        <v>11</v>
      </c>
      <c r="Q6" s="16">
        <v>6</v>
      </c>
      <c r="S6" s="3"/>
    </row>
    <row r="7" spans="1:19" ht="21.75" customHeight="1">
      <c r="A7" s="17" t="s">
        <v>12</v>
      </c>
      <c r="B7" s="170"/>
      <c r="C7" s="170"/>
      <c r="D7" s="170"/>
      <c r="E7" s="170"/>
      <c r="F7" s="215" t="s">
        <v>13</v>
      </c>
      <c r="G7" s="215"/>
      <c r="H7" s="170"/>
      <c r="I7" s="170"/>
      <c r="J7" s="171"/>
      <c r="L7" s="18"/>
      <c r="M7" s="18"/>
      <c r="N7" s="18"/>
      <c r="O7" s="18"/>
      <c r="P7" s="18"/>
      <c r="S7" s="3"/>
    </row>
    <row r="8" spans="1:19" ht="18" customHeight="1" thickBot="1">
      <c r="A8" s="141" t="s">
        <v>15</v>
      </c>
      <c r="B8" s="182" t="s">
        <v>134</v>
      </c>
      <c r="C8" s="183"/>
      <c r="D8" s="184" t="s">
        <v>135</v>
      </c>
      <c r="E8" s="183"/>
      <c r="F8" s="19" t="s">
        <v>16</v>
      </c>
      <c r="G8" s="185" t="s">
        <v>17</v>
      </c>
      <c r="H8" s="185"/>
      <c r="I8" s="185"/>
      <c r="J8" s="186"/>
      <c r="L8" s="8"/>
      <c r="M8" s="8"/>
      <c r="N8" s="8"/>
      <c r="O8" s="8"/>
      <c r="P8" s="8"/>
      <c r="S8" s="3"/>
    </row>
    <row r="9" spans="1:19" ht="12" customHeight="1">
      <c r="A9" s="134"/>
      <c r="B9" s="187" t="s">
        <v>69</v>
      </c>
      <c r="C9" s="188"/>
      <c r="D9" s="188"/>
      <c r="E9" s="188"/>
      <c r="F9" s="188"/>
      <c r="G9" s="188"/>
      <c r="H9" s="188"/>
      <c r="I9" s="188"/>
      <c r="J9" s="189"/>
      <c r="L9" s="20" t="s">
        <v>18</v>
      </c>
      <c r="M9" s="21" t="s">
        <v>19</v>
      </c>
      <c r="N9" s="21" t="s">
        <v>20</v>
      </c>
      <c r="O9" s="21" t="s">
        <v>21</v>
      </c>
      <c r="P9" s="21" t="s">
        <v>22</v>
      </c>
      <c r="Q9" s="22" t="s">
        <v>23</v>
      </c>
      <c r="S9" s="3"/>
    </row>
    <row r="10" spans="1:19" ht="30" customHeight="1">
      <c r="A10" s="142"/>
      <c r="B10" s="190"/>
      <c r="C10" s="191"/>
      <c r="D10" s="191"/>
      <c r="E10" s="191"/>
      <c r="F10" s="191"/>
      <c r="G10" s="191"/>
      <c r="H10" s="191"/>
      <c r="I10" s="191"/>
      <c r="J10" s="192"/>
      <c r="K10" s="23" t="s">
        <v>14</v>
      </c>
      <c r="L10" s="24" t="s">
        <v>24</v>
      </c>
      <c r="M10" s="25">
        <v>48</v>
      </c>
      <c r="N10" s="26">
        <v>1</v>
      </c>
      <c r="O10" s="27">
        <v>4.34</v>
      </c>
      <c r="P10" s="28">
        <f>M10*O10</f>
        <v>208.32</v>
      </c>
      <c r="Q10" s="29">
        <f>P10/P15</f>
        <v>0.73006616575081307</v>
      </c>
      <c r="S10" s="3"/>
    </row>
    <row r="11" spans="1:19" ht="19.5" customHeight="1">
      <c r="A11" s="141" t="s">
        <v>25</v>
      </c>
      <c r="B11" s="172" t="s">
        <v>26</v>
      </c>
      <c r="C11" s="173"/>
      <c r="D11" s="173"/>
      <c r="E11" s="30">
        <f>D24</f>
        <v>116810.58652013009</v>
      </c>
      <c r="F11" s="31" t="s">
        <v>27</v>
      </c>
      <c r="G11" s="32">
        <f>E11/8</f>
        <v>14601.323315016261</v>
      </c>
      <c r="H11" s="174" t="s">
        <v>28</v>
      </c>
      <c r="I11" s="174"/>
      <c r="J11" s="175"/>
      <c r="L11" s="24" t="s">
        <v>29</v>
      </c>
      <c r="M11" s="25">
        <v>9.6</v>
      </c>
      <c r="N11" s="26">
        <v>1</v>
      </c>
      <c r="O11" s="27">
        <v>4.34</v>
      </c>
      <c r="P11" s="28">
        <f>M11*O11</f>
        <v>41.663999999999994</v>
      </c>
      <c r="Q11" s="33">
        <f>P11/P15</f>
        <v>0.1460132331501626</v>
      </c>
      <c r="S11" s="3"/>
    </row>
    <row r="12" spans="1:19" ht="17.25" customHeight="1">
      <c r="A12" s="134"/>
      <c r="B12" s="176" t="s">
        <v>30</v>
      </c>
      <c r="C12" s="177"/>
      <c r="D12" s="177"/>
      <c r="E12" s="177"/>
      <c r="F12" s="177"/>
      <c r="G12" s="177"/>
      <c r="H12" s="177"/>
      <c r="I12" s="177"/>
      <c r="J12" s="178"/>
      <c r="L12" s="24" t="s">
        <v>31</v>
      </c>
      <c r="M12" s="25">
        <v>12</v>
      </c>
      <c r="N12" s="26">
        <v>1</v>
      </c>
      <c r="O12" s="27">
        <v>0</v>
      </c>
      <c r="P12" s="28">
        <f>M12*N12*O12</f>
        <v>0</v>
      </c>
      <c r="Q12" s="33">
        <f>P12/P15</f>
        <v>0</v>
      </c>
      <c r="R12" s="227"/>
      <c r="S12" s="228"/>
    </row>
    <row r="13" spans="1:19" ht="17.25" customHeight="1">
      <c r="A13" s="134"/>
      <c r="B13" s="176"/>
      <c r="C13" s="177"/>
      <c r="D13" s="177"/>
      <c r="E13" s="177"/>
      <c r="F13" s="177"/>
      <c r="G13" s="177"/>
      <c r="H13" s="177"/>
      <c r="I13" s="177"/>
      <c r="J13" s="178"/>
      <c r="L13" s="24" t="s">
        <v>32</v>
      </c>
      <c r="M13" s="25">
        <v>8</v>
      </c>
      <c r="N13" s="26">
        <v>0.5</v>
      </c>
      <c r="O13" s="27">
        <v>4.34</v>
      </c>
      <c r="P13" s="28">
        <f>M13*N13*O13</f>
        <v>17.36</v>
      </c>
      <c r="Q13" s="34">
        <f>P13/P15</f>
        <v>6.0838847145901084E-2</v>
      </c>
      <c r="S13" s="3"/>
    </row>
    <row r="14" spans="1:19" ht="17.25" customHeight="1">
      <c r="A14" s="134"/>
      <c r="B14" s="176"/>
      <c r="C14" s="177"/>
      <c r="D14" s="177"/>
      <c r="E14" s="177"/>
      <c r="F14" s="177"/>
      <c r="G14" s="177"/>
      <c r="H14" s="177"/>
      <c r="I14" s="177"/>
      <c r="J14" s="178"/>
      <c r="L14" s="24" t="s">
        <v>33</v>
      </c>
      <c r="M14" s="27">
        <v>0</v>
      </c>
      <c r="N14" s="26"/>
      <c r="O14" s="35">
        <v>0</v>
      </c>
      <c r="P14" s="28">
        <v>18</v>
      </c>
      <c r="Q14" s="34">
        <f>P14/P15</f>
        <v>6.3081753953123251E-2</v>
      </c>
      <c r="S14" s="3"/>
    </row>
    <row r="15" spans="1:19" ht="13.5" customHeight="1" thickBot="1">
      <c r="A15" s="134"/>
      <c r="B15" s="125" t="s">
        <v>82</v>
      </c>
      <c r="C15" s="126"/>
      <c r="D15" s="126"/>
      <c r="E15" s="126"/>
      <c r="F15" s="126"/>
      <c r="G15" s="126"/>
      <c r="H15" s="126"/>
      <c r="I15" s="126"/>
      <c r="J15" s="127"/>
      <c r="L15" s="36" t="s">
        <v>34</v>
      </c>
      <c r="M15" s="37"/>
      <c r="N15" s="37"/>
      <c r="O15" s="37">
        <v>0</v>
      </c>
      <c r="P15" s="38">
        <f>SUM(P10:P14)</f>
        <v>285.34399999999999</v>
      </c>
      <c r="Q15" s="39">
        <f>SUM(Q10:Q14)</f>
        <v>0.99999999999999989</v>
      </c>
      <c r="S15" s="3"/>
    </row>
    <row r="16" spans="1:19" ht="13.5" customHeight="1">
      <c r="A16" s="134"/>
      <c r="B16" s="125"/>
      <c r="C16" s="126"/>
      <c r="D16" s="126"/>
      <c r="E16" s="126"/>
      <c r="F16" s="126"/>
      <c r="G16" s="126"/>
      <c r="H16" s="126"/>
      <c r="I16" s="126"/>
      <c r="J16" s="127"/>
      <c r="S16" s="3"/>
    </row>
    <row r="17" spans="1:19" ht="21" customHeight="1">
      <c r="A17" s="134"/>
      <c r="B17" s="125" t="s">
        <v>35</v>
      </c>
      <c r="C17" s="126"/>
      <c r="D17" s="126"/>
      <c r="E17" s="126"/>
      <c r="F17" s="126"/>
      <c r="G17" s="126"/>
      <c r="H17" s="126"/>
      <c r="I17" s="126"/>
      <c r="J17" s="127"/>
      <c r="L17" s="162"/>
      <c r="M17" s="163"/>
      <c r="N17" s="40" t="s">
        <v>86</v>
      </c>
      <c r="O17" s="41"/>
      <c r="P17" s="41"/>
      <c r="Q17" s="42">
        <v>9620</v>
      </c>
      <c r="S17" s="3"/>
    </row>
    <row r="18" spans="1:19" ht="15.75" customHeight="1">
      <c r="A18" s="134"/>
      <c r="B18" s="164" t="s">
        <v>97</v>
      </c>
      <c r="C18" s="165"/>
      <c r="D18" s="165"/>
      <c r="E18" s="165"/>
      <c r="F18" s="165"/>
      <c r="G18" s="43">
        <v>160000</v>
      </c>
      <c r="H18" s="166" t="s">
        <v>37</v>
      </c>
      <c r="I18" s="166"/>
      <c r="J18" s="167"/>
      <c r="L18" s="162"/>
      <c r="M18" s="163"/>
      <c r="P18" s="44"/>
      <c r="S18" s="3"/>
    </row>
    <row r="19" spans="1:19" ht="15.75" customHeight="1">
      <c r="A19" s="134"/>
      <c r="B19" s="179" t="s">
        <v>128</v>
      </c>
      <c r="C19" s="180"/>
      <c r="D19" s="180"/>
      <c r="E19" s="180"/>
      <c r="F19" s="180"/>
      <c r="G19" s="180"/>
      <c r="H19" s="180"/>
      <c r="I19" s="180"/>
      <c r="J19" s="181"/>
      <c r="L19" s="45" t="s">
        <v>39</v>
      </c>
      <c r="M19" s="45"/>
      <c r="N19" s="45"/>
      <c r="O19" s="45"/>
      <c r="P19" s="45"/>
      <c r="Q19" s="46"/>
      <c r="S19" s="3"/>
    </row>
    <row r="20" spans="1:19" ht="15.75" customHeight="1">
      <c r="A20" s="82"/>
      <c r="B20" s="179" t="s">
        <v>73</v>
      </c>
      <c r="C20" s="180"/>
      <c r="D20" s="180"/>
      <c r="E20" s="180"/>
      <c r="F20" s="180"/>
      <c r="G20" s="180"/>
      <c r="H20" s="180"/>
      <c r="I20" s="180"/>
      <c r="J20" s="181"/>
      <c r="L20" s="45"/>
      <c r="M20" s="45"/>
      <c r="N20" s="45"/>
      <c r="O20" s="45"/>
      <c r="P20" s="45"/>
      <c r="Q20" s="46"/>
      <c r="S20" s="3"/>
    </row>
    <row r="21" spans="1:19" ht="15.75" customHeight="1">
      <c r="A21" s="82"/>
      <c r="B21" s="193" t="s">
        <v>129</v>
      </c>
      <c r="C21" s="194"/>
      <c r="D21" s="194"/>
      <c r="E21" s="194"/>
      <c r="F21" s="194"/>
      <c r="G21" s="194"/>
      <c r="H21" s="194"/>
      <c r="I21" s="194"/>
      <c r="J21" s="195"/>
      <c r="L21" s="45"/>
      <c r="M21" s="45"/>
      <c r="N21" s="45"/>
      <c r="O21" s="45"/>
      <c r="P21" s="45"/>
      <c r="Q21" s="46"/>
      <c r="S21" s="3"/>
    </row>
    <row r="22" spans="1:19" ht="18.75" customHeight="1">
      <c r="A22" s="119" t="s">
        <v>40</v>
      </c>
      <c r="B22" s="146" t="s">
        <v>41</v>
      </c>
      <c r="C22" s="147"/>
      <c r="D22" s="47" t="s">
        <v>24</v>
      </c>
      <c r="E22" s="47" t="s">
        <v>42</v>
      </c>
      <c r="F22" s="47" t="s">
        <v>31</v>
      </c>
      <c r="G22" s="148" t="s">
        <v>43</v>
      </c>
      <c r="H22" s="149"/>
      <c r="I22" s="148" t="s">
        <v>33</v>
      </c>
      <c r="J22" s="150"/>
      <c r="L22" s="45" t="s">
        <v>44</v>
      </c>
      <c r="M22" s="45"/>
      <c r="N22" s="45"/>
      <c r="O22" s="45"/>
      <c r="P22" s="45"/>
      <c r="Q22" s="46"/>
      <c r="R22" s="45"/>
      <c r="S22" s="2"/>
    </row>
    <row r="23" spans="1:19" ht="18.75" customHeight="1">
      <c r="A23" s="120"/>
      <c r="B23" s="151" t="s">
        <v>45</v>
      </c>
      <c r="C23" s="152"/>
      <c r="D23" s="48">
        <f>Q10</f>
        <v>0.73006616575081307</v>
      </c>
      <c r="E23" s="48">
        <f>Q11</f>
        <v>0.1460132331501626</v>
      </c>
      <c r="F23" s="48">
        <f>Q12</f>
        <v>0</v>
      </c>
      <c r="G23" s="153">
        <f>Q13</f>
        <v>6.0838847145901084E-2</v>
      </c>
      <c r="H23" s="154"/>
      <c r="I23" s="153">
        <f>Q14</f>
        <v>6.3081753953123251E-2</v>
      </c>
      <c r="J23" s="155"/>
      <c r="L23" s="45" t="s">
        <v>46</v>
      </c>
      <c r="M23" s="45"/>
      <c r="N23" s="45"/>
      <c r="O23" s="45"/>
      <c r="P23" s="45"/>
      <c r="Q23" s="45"/>
      <c r="R23" s="45"/>
      <c r="S23" s="2"/>
    </row>
    <row r="24" spans="1:19" ht="18.75" customHeight="1">
      <c r="A24" s="121"/>
      <c r="B24" s="49" t="s">
        <v>47</v>
      </c>
      <c r="C24" s="50">
        <f>G11</f>
        <v>14601.323315016261</v>
      </c>
      <c r="D24" s="51">
        <f>G18*$D$23</f>
        <v>116810.58652013009</v>
      </c>
      <c r="E24" s="52">
        <f>G18*$E$23</f>
        <v>23362.117304026015</v>
      </c>
      <c r="F24" s="51">
        <f>G18*$F$23</f>
        <v>0</v>
      </c>
      <c r="G24" s="156">
        <f>G18*$G$23</f>
        <v>9734.2155433441731</v>
      </c>
      <c r="H24" s="157"/>
      <c r="I24" s="158">
        <f>G18*$I$23</f>
        <v>10093.080632499721</v>
      </c>
      <c r="J24" s="159"/>
      <c r="L24" s="45" t="s">
        <v>48</v>
      </c>
      <c r="M24" s="45"/>
      <c r="N24" s="45"/>
      <c r="O24" s="45"/>
      <c r="P24" s="45"/>
      <c r="Q24" s="45"/>
      <c r="R24" s="45"/>
      <c r="S24" s="2"/>
    </row>
    <row r="25" spans="1:19" ht="54.75" customHeight="1">
      <c r="A25" s="119" t="s">
        <v>49</v>
      </c>
      <c r="B25" s="135" t="s">
        <v>130</v>
      </c>
      <c r="C25" s="136"/>
      <c r="D25" s="136"/>
      <c r="E25" s="136"/>
      <c r="F25" s="136"/>
      <c r="G25" s="136"/>
      <c r="H25" s="136"/>
      <c r="I25" s="136"/>
      <c r="J25" s="137"/>
      <c r="L25" s="45" t="s">
        <v>14</v>
      </c>
      <c r="M25" s="45"/>
      <c r="N25" s="45"/>
      <c r="O25" s="45"/>
      <c r="P25" s="45"/>
      <c r="Q25" s="46"/>
      <c r="S25" s="2"/>
    </row>
    <row r="26" spans="1:19" ht="66.75" customHeight="1">
      <c r="A26" s="134"/>
      <c r="B26" s="138"/>
      <c r="C26" s="139"/>
      <c r="D26" s="139"/>
      <c r="E26" s="139"/>
      <c r="F26" s="139"/>
      <c r="G26" s="139"/>
      <c r="H26" s="139"/>
      <c r="I26" s="139"/>
      <c r="J26" s="140"/>
      <c r="L26" s="45" t="s">
        <v>14</v>
      </c>
      <c r="M26" s="45"/>
      <c r="N26" s="45"/>
      <c r="O26" s="45"/>
      <c r="P26" s="45"/>
      <c r="Q26" s="46"/>
      <c r="S26" s="2"/>
    </row>
    <row r="27" spans="1:19" ht="27.75" customHeight="1">
      <c r="A27" s="141" t="s">
        <v>50</v>
      </c>
      <c r="B27" s="122" t="s">
        <v>70</v>
      </c>
      <c r="C27" s="123"/>
      <c r="D27" s="123"/>
      <c r="E27" s="123"/>
      <c r="F27" s="123"/>
      <c r="G27" s="123"/>
      <c r="H27" s="123"/>
      <c r="I27" s="123"/>
      <c r="J27" s="124"/>
      <c r="L27" s="3">
        <f>C24*8</f>
        <v>116810.58652013009</v>
      </c>
      <c r="M27" s="53">
        <f>E24*5</f>
        <v>116810.58652013008</v>
      </c>
      <c r="N27" s="45"/>
      <c r="O27" s="53"/>
      <c r="P27" s="54"/>
      <c r="Q27" s="53"/>
      <c r="R27" s="55"/>
      <c r="S27" s="56"/>
    </row>
    <row r="28" spans="1:19" ht="27.75" customHeight="1">
      <c r="A28" s="142"/>
      <c r="B28" s="128"/>
      <c r="C28" s="129"/>
      <c r="D28" s="129"/>
      <c r="E28" s="129"/>
      <c r="F28" s="129"/>
      <c r="G28" s="129"/>
      <c r="H28" s="129"/>
      <c r="I28" s="129"/>
      <c r="J28" s="130"/>
      <c r="L28" s="3"/>
      <c r="M28" s="54"/>
      <c r="R28" s="55"/>
      <c r="S28" s="56"/>
    </row>
    <row r="29" spans="1:19" ht="40.5" customHeight="1">
      <c r="A29" s="57" t="s">
        <v>51</v>
      </c>
      <c r="B29" s="122" t="s">
        <v>68</v>
      </c>
      <c r="C29" s="123"/>
      <c r="D29" s="123"/>
      <c r="E29" s="123"/>
      <c r="F29" s="123"/>
      <c r="G29" s="123"/>
      <c r="H29" s="123"/>
      <c r="I29" s="123"/>
      <c r="J29" s="124"/>
      <c r="L29" s="143" t="s">
        <v>52</v>
      </c>
      <c r="M29" s="143"/>
      <c r="N29" s="143"/>
      <c r="O29" s="143"/>
      <c r="P29" s="143"/>
      <c r="Q29" s="143"/>
      <c r="R29" s="55"/>
      <c r="S29" s="56"/>
    </row>
    <row r="30" spans="1:19" ht="23.25" customHeight="1">
      <c r="A30" s="119" t="s">
        <v>53</v>
      </c>
      <c r="B30" s="122" t="s">
        <v>71</v>
      </c>
      <c r="C30" s="123"/>
      <c r="D30" s="123"/>
      <c r="E30" s="123"/>
      <c r="F30" s="123"/>
      <c r="G30" s="123"/>
      <c r="H30" s="123"/>
      <c r="I30" s="123"/>
      <c r="J30" s="124"/>
      <c r="L30" s="143"/>
      <c r="M30" s="143"/>
      <c r="N30" s="143"/>
      <c r="O30" s="143"/>
      <c r="P30" s="143"/>
      <c r="Q30" s="143"/>
      <c r="R30" s="55"/>
      <c r="S30" s="55"/>
    </row>
    <row r="31" spans="1:19" ht="23.25" customHeight="1">
      <c r="A31" s="120"/>
      <c r="B31" s="125"/>
      <c r="C31" s="126"/>
      <c r="D31" s="126"/>
      <c r="E31" s="126"/>
      <c r="F31" s="126"/>
      <c r="G31" s="126"/>
      <c r="H31" s="126"/>
      <c r="I31" s="126"/>
      <c r="J31" s="127"/>
      <c r="L31" s="143"/>
      <c r="M31" s="143"/>
      <c r="N31" s="143"/>
      <c r="O31" s="143"/>
      <c r="P31" s="143"/>
      <c r="Q31" s="143"/>
      <c r="S31" s="2"/>
    </row>
    <row r="32" spans="1:19" ht="23.25" customHeight="1">
      <c r="A32" s="120"/>
      <c r="B32" s="125"/>
      <c r="C32" s="126"/>
      <c r="D32" s="126"/>
      <c r="E32" s="126"/>
      <c r="F32" s="126"/>
      <c r="G32" s="126"/>
      <c r="H32" s="126"/>
      <c r="I32" s="126"/>
      <c r="J32" s="127"/>
      <c r="L32" s="143"/>
      <c r="M32" s="143"/>
      <c r="N32" s="143"/>
      <c r="O32" s="143"/>
      <c r="P32" s="143"/>
      <c r="Q32" s="143"/>
      <c r="S32" s="2"/>
    </row>
    <row r="33" spans="1:19" ht="23.25" customHeight="1">
      <c r="A33" s="120"/>
      <c r="B33" s="125"/>
      <c r="C33" s="126"/>
      <c r="D33" s="126"/>
      <c r="E33" s="126"/>
      <c r="F33" s="126"/>
      <c r="G33" s="126"/>
      <c r="H33" s="126"/>
      <c r="I33" s="126"/>
      <c r="J33" s="127"/>
      <c r="L33" s="18"/>
      <c r="M33" s="18"/>
      <c r="N33" s="18"/>
      <c r="O33" s="18"/>
      <c r="P33" s="18"/>
      <c r="S33" s="2"/>
    </row>
    <row r="34" spans="1:19" ht="23.25" customHeight="1">
      <c r="A34" s="120"/>
      <c r="B34" s="125"/>
      <c r="C34" s="126"/>
      <c r="D34" s="126"/>
      <c r="E34" s="126"/>
      <c r="F34" s="126"/>
      <c r="G34" s="126"/>
      <c r="H34" s="126"/>
      <c r="I34" s="126"/>
      <c r="J34" s="127"/>
      <c r="L34" s="58"/>
      <c r="M34" s="58"/>
      <c r="N34" s="58"/>
      <c r="O34" s="144"/>
      <c r="P34" s="144"/>
      <c r="Q34" s="59"/>
      <c r="S34" s="2"/>
    </row>
    <row r="35" spans="1:19" ht="28.5" customHeight="1">
      <c r="A35" s="121"/>
      <c r="B35" s="128"/>
      <c r="C35" s="129"/>
      <c r="D35" s="129"/>
      <c r="E35" s="129"/>
      <c r="F35" s="129"/>
      <c r="G35" s="129"/>
      <c r="H35" s="129"/>
      <c r="I35" s="129"/>
      <c r="J35" s="130"/>
      <c r="L35" s="60"/>
      <c r="M35" s="60"/>
      <c r="N35" s="60"/>
      <c r="O35" s="145"/>
      <c r="P35" s="145"/>
      <c r="Q35" s="61"/>
      <c r="S35" s="2"/>
    </row>
    <row r="36" spans="1:19" ht="21" customHeight="1">
      <c r="A36" s="119" t="s">
        <v>54</v>
      </c>
      <c r="B36" s="122" t="s">
        <v>133</v>
      </c>
      <c r="C36" s="123"/>
      <c r="D36" s="123"/>
      <c r="E36" s="123"/>
      <c r="F36" s="123"/>
      <c r="G36" s="123"/>
      <c r="H36" s="123"/>
      <c r="I36" s="123"/>
      <c r="J36" s="124"/>
      <c r="L36" s="62"/>
      <c r="M36" s="63"/>
      <c r="N36" s="62"/>
      <c r="O36" s="131"/>
      <c r="P36" s="131"/>
      <c r="Q36" s="64"/>
      <c r="R36" s="65"/>
      <c r="S36" s="2"/>
    </row>
    <row r="37" spans="1:19" ht="19.5" customHeight="1">
      <c r="A37" s="120"/>
      <c r="B37" s="125"/>
      <c r="C37" s="126"/>
      <c r="D37" s="126"/>
      <c r="E37" s="126"/>
      <c r="F37" s="126"/>
      <c r="G37" s="126"/>
      <c r="H37" s="126"/>
      <c r="I37" s="126"/>
      <c r="J37" s="127"/>
      <c r="L37" s="66"/>
      <c r="M37" s="67"/>
      <c r="N37" s="66"/>
      <c r="O37" s="132"/>
      <c r="P37" s="132"/>
      <c r="Q37" s="68"/>
      <c r="R37" s="69"/>
      <c r="S37" s="2"/>
    </row>
    <row r="38" spans="1:19" ht="19.5" customHeight="1">
      <c r="A38" s="120"/>
      <c r="B38" s="125"/>
      <c r="C38" s="126"/>
      <c r="D38" s="126"/>
      <c r="E38" s="126"/>
      <c r="F38" s="126"/>
      <c r="G38" s="126"/>
      <c r="H38" s="126"/>
      <c r="I38" s="126"/>
      <c r="J38" s="127"/>
      <c r="L38" s="70"/>
      <c r="M38" s="71"/>
      <c r="N38" s="70"/>
      <c r="O38" s="133"/>
      <c r="P38" s="133"/>
      <c r="Q38" s="72"/>
      <c r="R38" s="73"/>
      <c r="S38" s="2"/>
    </row>
    <row r="39" spans="1:19" ht="19.5" customHeight="1">
      <c r="A39" s="120"/>
      <c r="B39" s="125"/>
      <c r="C39" s="126"/>
      <c r="D39" s="126"/>
      <c r="E39" s="126"/>
      <c r="F39" s="126"/>
      <c r="G39" s="126"/>
      <c r="H39" s="126"/>
      <c r="I39" s="126"/>
      <c r="J39" s="127"/>
      <c r="L39" s="70"/>
      <c r="M39" s="71"/>
      <c r="N39" s="70"/>
      <c r="O39" s="70"/>
      <c r="P39" s="70"/>
      <c r="Q39" s="72"/>
      <c r="R39" s="73"/>
      <c r="S39" s="2"/>
    </row>
    <row r="40" spans="1:19" ht="19.5" customHeight="1">
      <c r="A40" s="121"/>
      <c r="B40" s="128"/>
      <c r="C40" s="129"/>
      <c r="D40" s="129"/>
      <c r="E40" s="129"/>
      <c r="F40" s="129"/>
      <c r="G40" s="129"/>
      <c r="H40" s="129"/>
      <c r="I40" s="129"/>
      <c r="J40" s="130"/>
      <c r="L40" s="70"/>
      <c r="M40" s="71"/>
      <c r="N40" s="70"/>
      <c r="O40" s="133"/>
      <c r="P40" s="133"/>
      <c r="Q40" s="72"/>
      <c r="R40" s="73"/>
      <c r="S40" s="2"/>
    </row>
    <row r="41" spans="1:19" ht="17.100000000000001" customHeight="1">
      <c r="A41" s="119" t="s">
        <v>75</v>
      </c>
      <c r="B41" s="220" t="s">
        <v>76</v>
      </c>
      <c r="C41" s="221"/>
      <c r="D41" s="84"/>
      <c r="E41" s="84"/>
      <c r="F41" s="84"/>
      <c r="G41" s="84"/>
      <c r="H41" s="84"/>
      <c r="I41" s="84"/>
      <c r="J41" s="85"/>
      <c r="L41" s="70"/>
      <c r="M41" s="71"/>
      <c r="N41" s="70"/>
      <c r="O41" s="70"/>
      <c r="P41" s="70"/>
      <c r="Q41" s="72"/>
      <c r="R41" s="73"/>
      <c r="S41" s="2"/>
    </row>
    <row r="42" spans="1:19" ht="19.5" customHeight="1">
      <c r="A42" s="120"/>
      <c r="B42" s="216" t="s">
        <v>77</v>
      </c>
      <c r="C42" s="217"/>
      <c r="D42" s="216" t="s">
        <v>78</v>
      </c>
      <c r="E42" s="217"/>
      <c r="F42" s="216" t="s">
        <v>79</v>
      </c>
      <c r="G42" s="217"/>
      <c r="H42" s="216" t="s">
        <v>80</v>
      </c>
      <c r="I42" s="217"/>
      <c r="J42" s="86" t="s">
        <v>81</v>
      </c>
      <c r="L42" s="70"/>
      <c r="M42" s="71"/>
      <c r="N42" s="70"/>
      <c r="O42" s="70"/>
      <c r="P42" s="70"/>
      <c r="Q42" s="72"/>
      <c r="R42" s="73"/>
      <c r="S42" s="2"/>
    </row>
    <row r="43" spans="1:19" ht="19.5" customHeight="1">
      <c r="A43" s="120"/>
      <c r="B43" s="218" t="s">
        <v>87</v>
      </c>
      <c r="C43" s="219"/>
      <c r="D43" s="218" t="s">
        <v>87</v>
      </c>
      <c r="E43" s="219"/>
      <c r="F43" s="218" t="s">
        <v>87</v>
      </c>
      <c r="G43" s="219"/>
      <c r="H43" s="218" t="s">
        <v>87</v>
      </c>
      <c r="I43" s="219"/>
      <c r="J43" s="90" t="s">
        <v>87</v>
      </c>
      <c r="K43" s="2" t="s">
        <v>89</v>
      </c>
      <c r="L43" s="70"/>
      <c r="M43" s="71"/>
      <c r="N43" s="70"/>
      <c r="O43" s="70"/>
      <c r="P43" s="70"/>
      <c r="Q43" s="72"/>
      <c r="R43" s="73"/>
      <c r="S43" s="2"/>
    </row>
    <row r="44" spans="1:19" ht="19.5" customHeight="1">
      <c r="A44" s="121"/>
      <c r="B44" s="220" t="s">
        <v>131</v>
      </c>
      <c r="C44" s="221"/>
      <c r="D44" s="221"/>
      <c r="E44" s="221"/>
      <c r="F44" s="221"/>
      <c r="G44" s="221"/>
      <c r="H44" s="221"/>
      <c r="I44" s="221"/>
      <c r="J44" s="222"/>
      <c r="L44" s="70"/>
      <c r="M44" s="71"/>
      <c r="N44" s="70"/>
      <c r="O44" s="70"/>
      <c r="P44" s="70"/>
      <c r="Q44" s="72"/>
      <c r="R44" s="73"/>
      <c r="S44" s="2"/>
    </row>
    <row r="45" spans="1:19" ht="21" customHeight="1">
      <c r="A45" s="74" t="s">
        <v>56</v>
      </c>
      <c r="B45" s="105" t="s">
        <v>132</v>
      </c>
      <c r="C45" s="106"/>
      <c r="D45" s="106"/>
      <c r="E45" s="106"/>
      <c r="F45" s="106"/>
      <c r="G45" s="106"/>
      <c r="H45" s="106"/>
      <c r="I45" s="106"/>
      <c r="J45" s="107"/>
      <c r="S45" s="2"/>
    </row>
    <row r="46" spans="1:19" ht="19.5" customHeight="1">
      <c r="A46" s="108" t="s">
        <v>149</v>
      </c>
      <c r="B46" s="109"/>
      <c r="C46" s="109"/>
      <c r="D46" s="109"/>
      <c r="E46" s="109"/>
      <c r="F46" s="109"/>
      <c r="G46" s="109"/>
      <c r="H46" s="109"/>
      <c r="I46" s="109"/>
      <c r="J46" s="110"/>
      <c r="S46" s="3"/>
    </row>
    <row r="47" spans="1:19" s="75" customFormat="1" ht="23.25" customHeight="1">
      <c r="A47" s="111" t="s">
        <v>58</v>
      </c>
      <c r="B47" s="112"/>
      <c r="C47" s="112"/>
      <c r="D47" s="112"/>
      <c r="E47" s="112"/>
      <c r="F47" s="112" t="s">
        <v>59</v>
      </c>
      <c r="G47" s="112"/>
      <c r="H47" s="112"/>
      <c r="I47" s="112"/>
      <c r="J47" s="113"/>
      <c r="S47" s="41"/>
    </row>
    <row r="48" spans="1:19" ht="23.25" customHeight="1">
      <c r="A48" s="114" t="s">
        <v>60</v>
      </c>
      <c r="B48" s="115"/>
      <c r="C48" s="116" t="str">
        <f>A4</f>
        <v>㈜강구토건 대표 이진호</v>
      </c>
      <c r="D48" s="116"/>
      <c r="E48" s="116"/>
      <c r="F48" s="76" t="s">
        <v>61</v>
      </c>
      <c r="G48" s="117" t="s">
        <v>125</v>
      </c>
      <c r="H48" s="117"/>
      <c r="I48" s="117"/>
      <c r="J48" s="118"/>
      <c r="S48" s="3"/>
    </row>
    <row r="49" spans="1:19" ht="23.25" customHeight="1">
      <c r="A49" s="100" t="s">
        <v>62</v>
      </c>
      <c r="B49" s="101"/>
      <c r="C49" s="102" t="s">
        <v>84</v>
      </c>
      <c r="D49" s="102"/>
      <c r="E49" s="102"/>
      <c r="F49" s="77" t="s">
        <v>63</v>
      </c>
      <c r="G49" s="234"/>
      <c r="H49" s="234"/>
      <c r="I49" s="234"/>
      <c r="J49" s="235"/>
      <c r="S49" s="3"/>
    </row>
    <row r="50" spans="1:19" ht="23.25" customHeight="1">
      <c r="A50" s="100" t="s">
        <v>64</v>
      </c>
      <c r="B50" s="101"/>
      <c r="C50" s="103"/>
      <c r="D50" s="103"/>
      <c r="E50" s="103"/>
      <c r="F50" s="78" t="s">
        <v>65</v>
      </c>
      <c r="G50" s="234"/>
      <c r="H50" s="234"/>
      <c r="I50" s="234"/>
      <c r="J50" s="235"/>
      <c r="S50" s="3"/>
    </row>
    <row r="51" spans="1:19" ht="23.25" customHeight="1" thickBot="1">
      <c r="A51" s="95" t="s">
        <v>66</v>
      </c>
      <c r="B51" s="96"/>
      <c r="C51" s="97" t="s">
        <v>124</v>
      </c>
      <c r="D51" s="97"/>
      <c r="E51" s="97"/>
      <c r="F51" s="79" t="s">
        <v>67</v>
      </c>
      <c r="G51" s="232"/>
      <c r="H51" s="232"/>
      <c r="I51" s="232"/>
      <c r="J51" s="233"/>
      <c r="S51" s="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phoneticPr fontId="3" type="noConversion"/>
  <printOptions horizontalCentered="1"/>
  <pageMargins left="0.70866141732283472" right="0.70866141732283472" top="0.74803149606299213" bottom="0.74803149606299213" header="0.31496062992125984" footer="0.31496062992125984"/>
  <pageSetup paperSize="9" scale="64" orientation="portrait" r:id="rId1"/>
  <colBreaks count="1" manualBreakCount="1">
    <brk id="10" max="1048575" man="1"/>
  </col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51"/>
  <sheetViews>
    <sheetView view="pageBreakPreview" zoomScaleNormal="100" zoomScaleSheetLayoutView="100" workbookViewId="0">
      <selection activeCell="B20" sqref="B20:J20"/>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96" t="s">
        <v>203</v>
      </c>
      <c r="B1" s="196"/>
      <c r="C1" s="196"/>
      <c r="D1" s="196"/>
      <c r="E1" s="196"/>
      <c r="F1" s="1"/>
      <c r="G1" s="1"/>
      <c r="H1" s="1"/>
      <c r="I1" s="1"/>
      <c r="J1" s="1"/>
      <c r="L1" s="197" t="s">
        <v>0</v>
      </c>
      <c r="M1" s="197"/>
      <c r="N1" s="197"/>
      <c r="O1" s="197"/>
      <c r="P1" s="197"/>
      <c r="Q1" s="197"/>
      <c r="S1" s="3"/>
    </row>
    <row r="2" spans="1:19" ht="27" customHeight="1">
      <c r="A2" s="198" t="s">
        <v>1</v>
      </c>
      <c r="B2" s="198"/>
      <c r="C2" s="198"/>
      <c r="D2" s="198"/>
      <c r="E2" s="198"/>
      <c r="F2" s="198"/>
      <c r="G2" s="198"/>
      <c r="H2" s="198"/>
      <c r="I2" s="198"/>
      <c r="J2" s="198"/>
      <c r="L2" s="197"/>
      <c r="M2" s="197"/>
      <c r="N2" s="197"/>
      <c r="O2" s="197"/>
      <c r="P2" s="197"/>
      <c r="Q2" s="197"/>
      <c r="S2" s="3"/>
    </row>
    <row r="3" spans="1:19" ht="6" customHeight="1" thickBot="1">
      <c r="A3" s="1"/>
      <c r="B3" s="1"/>
      <c r="C3" s="1"/>
      <c r="D3" s="1"/>
      <c r="E3" s="1"/>
      <c r="F3" s="1"/>
      <c r="G3" s="1"/>
      <c r="H3" s="1"/>
      <c r="I3" s="1"/>
      <c r="J3" s="1"/>
      <c r="K3" s="4"/>
      <c r="L3" s="199" t="s">
        <v>2</v>
      </c>
      <c r="M3" s="199"/>
      <c r="N3" s="199"/>
      <c r="O3" s="199"/>
      <c r="P3" s="199"/>
      <c r="S3" s="3"/>
    </row>
    <row r="4" spans="1:19" ht="17.25" customHeight="1">
      <c r="A4" s="200" t="s">
        <v>74</v>
      </c>
      <c r="B4" s="201"/>
      <c r="C4" s="202" t="s">
        <v>3</v>
      </c>
      <c r="D4" s="202"/>
      <c r="E4" s="88"/>
      <c r="F4" s="202" t="s">
        <v>5</v>
      </c>
      <c r="G4" s="202"/>
      <c r="H4" s="202"/>
      <c r="I4" s="202"/>
      <c r="J4" s="203"/>
      <c r="K4" s="5"/>
      <c r="L4" s="199"/>
      <c r="M4" s="199"/>
      <c r="N4" s="199"/>
      <c r="O4" s="199"/>
      <c r="P4" s="199"/>
      <c r="S4" s="3"/>
    </row>
    <row r="5" spans="1:19" ht="15" customHeight="1" thickBot="1">
      <c r="A5" s="204" t="s">
        <v>6</v>
      </c>
      <c r="B5" s="205"/>
      <c r="C5" s="205"/>
      <c r="D5" s="205"/>
      <c r="E5" s="205"/>
      <c r="F5" s="205"/>
      <c r="G5" s="205"/>
      <c r="H5" s="205"/>
      <c r="I5" s="205"/>
      <c r="J5" s="206"/>
      <c r="K5" s="5"/>
      <c r="L5" s="6" t="s">
        <v>2</v>
      </c>
      <c r="M5" s="7"/>
      <c r="N5" s="8"/>
      <c r="O5" s="9"/>
      <c r="P5" s="9"/>
      <c r="S5" s="3"/>
    </row>
    <row r="6" spans="1:19" ht="21.75" customHeight="1" thickBot="1">
      <c r="A6" s="10" t="s">
        <v>7</v>
      </c>
      <c r="B6" s="207"/>
      <c r="C6" s="208"/>
      <c r="D6" s="208"/>
      <c r="E6" s="209"/>
      <c r="F6" s="210" t="s">
        <v>8</v>
      </c>
      <c r="G6" s="211"/>
      <c r="H6" s="212"/>
      <c r="I6" s="213"/>
      <c r="J6" s="214"/>
      <c r="L6" s="11" t="s">
        <v>9</v>
      </c>
      <c r="M6" s="12"/>
      <c r="N6" s="13" t="s">
        <v>10</v>
      </c>
      <c r="O6" s="14">
        <v>8</v>
      </c>
      <c r="P6" s="15" t="s">
        <v>11</v>
      </c>
      <c r="Q6" s="16">
        <v>6</v>
      </c>
      <c r="S6" s="3"/>
    </row>
    <row r="7" spans="1:19" ht="21.75" customHeight="1">
      <c r="A7" s="17" t="s">
        <v>12</v>
      </c>
      <c r="B7" s="170"/>
      <c r="C7" s="170"/>
      <c r="D7" s="170"/>
      <c r="E7" s="170"/>
      <c r="F7" s="215" t="s">
        <v>13</v>
      </c>
      <c r="G7" s="215"/>
      <c r="H7" s="170"/>
      <c r="I7" s="170"/>
      <c r="J7" s="171"/>
      <c r="L7" s="18"/>
      <c r="M7" s="18"/>
      <c r="N7" s="18"/>
      <c r="O7" s="18"/>
      <c r="P7" s="18"/>
      <c r="S7" s="3"/>
    </row>
    <row r="8" spans="1:19" ht="18" customHeight="1" thickBot="1">
      <c r="A8" s="141" t="s">
        <v>15</v>
      </c>
      <c r="B8" s="182" t="s">
        <v>138</v>
      </c>
      <c r="C8" s="183"/>
      <c r="D8" s="184" t="s">
        <v>139</v>
      </c>
      <c r="E8" s="183"/>
      <c r="F8" s="19" t="s">
        <v>16</v>
      </c>
      <c r="G8" s="185" t="s">
        <v>17</v>
      </c>
      <c r="H8" s="185"/>
      <c r="I8" s="185"/>
      <c r="J8" s="186"/>
      <c r="L8" s="8"/>
      <c r="M8" s="8"/>
      <c r="N8" s="8"/>
      <c r="O8" s="8"/>
      <c r="P8" s="8"/>
      <c r="S8" s="3"/>
    </row>
    <row r="9" spans="1:19" ht="12" customHeight="1">
      <c r="A9" s="134"/>
      <c r="B9" s="187" t="s">
        <v>69</v>
      </c>
      <c r="C9" s="188"/>
      <c r="D9" s="188"/>
      <c r="E9" s="188"/>
      <c r="F9" s="188"/>
      <c r="G9" s="188"/>
      <c r="H9" s="188"/>
      <c r="I9" s="188"/>
      <c r="J9" s="189"/>
      <c r="L9" s="20" t="s">
        <v>18</v>
      </c>
      <c r="M9" s="21" t="s">
        <v>19</v>
      </c>
      <c r="N9" s="21" t="s">
        <v>20</v>
      </c>
      <c r="O9" s="21" t="s">
        <v>21</v>
      </c>
      <c r="P9" s="21" t="s">
        <v>22</v>
      </c>
      <c r="Q9" s="22" t="s">
        <v>23</v>
      </c>
      <c r="S9" s="3"/>
    </row>
    <row r="10" spans="1:19" ht="30" customHeight="1">
      <c r="A10" s="142"/>
      <c r="B10" s="190"/>
      <c r="C10" s="191"/>
      <c r="D10" s="191"/>
      <c r="E10" s="191"/>
      <c r="F10" s="191"/>
      <c r="G10" s="191"/>
      <c r="H10" s="191"/>
      <c r="I10" s="191"/>
      <c r="J10" s="192"/>
      <c r="K10" s="23" t="s">
        <v>14</v>
      </c>
      <c r="L10" s="24" t="s">
        <v>24</v>
      </c>
      <c r="M10" s="25">
        <v>48</v>
      </c>
      <c r="N10" s="26">
        <v>1</v>
      </c>
      <c r="O10" s="27">
        <v>4.34</v>
      </c>
      <c r="P10" s="28">
        <f>M10*O10</f>
        <v>208.32</v>
      </c>
      <c r="Q10" s="29">
        <f>P10/P15</f>
        <v>0.6734250543084721</v>
      </c>
      <c r="S10" s="3"/>
    </row>
    <row r="11" spans="1:19" ht="19.5" customHeight="1">
      <c r="A11" s="141" t="s">
        <v>25</v>
      </c>
      <c r="B11" s="172" t="s">
        <v>26</v>
      </c>
      <c r="C11" s="173"/>
      <c r="D11" s="173"/>
      <c r="E11" s="30">
        <f>D24</f>
        <v>107748.00868935554</v>
      </c>
      <c r="F11" s="31" t="s">
        <v>27</v>
      </c>
      <c r="G11" s="32">
        <f>E11/8</f>
        <v>13468.501086169443</v>
      </c>
      <c r="H11" s="174" t="s">
        <v>28</v>
      </c>
      <c r="I11" s="174"/>
      <c r="J11" s="175"/>
      <c r="L11" s="24" t="s">
        <v>29</v>
      </c>
      <c r="M11" s="25">
        <v>9.6</v>
      </c>
      <c r="N11" s="26">
        <v>1</v>
      </c>
      <c r="O11" s="27">
        <v>4.34</v>
      </c>
      <c r="P11" s="28">
        <f>M11*O11</f>
        <v>41.663999999999994</v>
      </c>
      <c r="Q11" s="33">
        <f>P11/P15</f>
        <v>0.1346850108616944</v>
      </c>
      <c r="S11" s="3"/>
    </row>
    <row r="12" spans="1:19" ht="17.25" customHeight="1">
      <c r="A12" s="134"/>
      <c r="B12" s="176" t="s">
        <v>30</v>
      </c>
      <c r="C12" s="177"/>
      <c r="D12" s="177"/>
      <c r="E12" s="177"/>
      <c r="F12" s="177"/>
      <c r="G12" s="177"/>
      <c r="H12" s="177"/>
      <c r="I12" s="177"/>
      <c r="J12" s="178"/>
      <c r="L12" s="24" t="s">
        <v>31</v>
      </c>
      <c r="M12" s="25">
        <v>12</v>
      </c>
      <c r="N12" s="26">
        <v>1</v>
      </c>
      <c r="O12" s="27">
        <v>2</v>
      </c>
      <c r="P12" s="28">
        <f>M12*N12*O12</f>
        <v>24</v>
      </c>
      <c r="Q12" s="33">
        <f>P12/P15</f>
        <v>7.7583531602358535E-2</v>
      </c>
      <c r="R12" s="227"/>
      <c r="S12" s="228"/>
    </row>
    <row r="13" spans="1:19" ht="17.25" customHeight="1">
      <c r="A13" s="134"/>
      <c r="B13" s="176"/>
      <c r="C13" s="177"/>
      <c r="D13" s="177"/>
      <c r="E13" s="177"/>
      <c r="F13" s="177"/>
      <c r="G13" s="177"/>
      <c r="H13" s="177"/>
      <c r="I13" s="177"/>
      <c r="J13" s="178"/>
      <c r="L13" s="24" t="s">
        <v>32</v>
      </c>
      <c r="M13" s="25">
        <v>8</v>
      </c>
      <c r="N13" s="26">
        <v>0.5</v>
      </c>
      <c r="O13" s="27">
        <v>4.34</v>
      </c>
      <c r="P13" s="28">
        <f>M13*N13*O13</f>
        <v>17.36</v>
      </c>
      <c r="Q13" s="34">
        <f>P13/P15</f>
        <v>5.6118754525706006E-2</v>
      </c>
      <c r="S13" s="3"/>
    </row>
    <row r="14" spans="1:19" ht="17.25" customHeight="1">
      <c r="A14" s="134"/>
      <c r="B14" s="176"/>
      <c r="C14" s="177"/>
      <c r="D14" s="177"/>
      <c r="E14" s="177"/>
      <c r="F14" s="177"/>
      <c r="G14" s="177"/>
      <c r="H14" s="177"/>
      <c r="I14" s="177"/>
      <c r="J14" s="178"/>
      <c r="L14" s="24" t="s">
        <v>33</v>
      </c>
      <c r="M14" s="27">
        <v>0</v>
      </c>
      <c r="N14" s="26"/>
      <c r="O14" s="35">
        <v>0</v>
      </c>
      <c r="P14" s="28">
        <v>18</v>
      </c>
      <c r="Q14" s="34">
        <f>P14/P15</f>
        <v>5.8187648701768908E-2</v>
      </c>
      <c r="S14" s="3"/>
    </row>
    <row r="15" spans="1:19" ht="13.5" customHeight="1" thickBot="1">
      <c r="A15" s="134"/>
      <c r="B15" s="125" t="s">
        <v>82</v>
      </c>
      <c r="C15" s="126"/>
      <c r="D15" s="126"/>
      <c r="E15" s="126"/>
      <c r="F15" s="126"/>
      <c r="G15" s="126"/>
      <c r="H15" s="126"/>
      <c r="I15" s="126"/>
      <c r="J15" s="127"/>
      <c r="L15" s="36" t="s">
        <v>34</v>
      </c>
      <c r="M15" s="37"/>
      <c r="N15" s="37"/>
      <c r="O15" s="37">
        <v>0</v>
      </c>
      <c r="P15" s="38">
        <f>SUM(P10:P14)</f>
        <v>309.34399999999999</v>
      </c>
      <c r="Q15" s="39">
        <f>SUM(Q10:Q14)</f>
        <v>1</v>
      </c>
      <c r="S15" s="3"/>
    </row>
    <row r="16" spans="1:19" ht="13.5" customHeight="1">
      <c r="A16" s="134"/>
      <c r="B16" s="125"/>
      <c r="C16" s="126"/>
      <c r="D16" s="126"/>
      <c r="E16" s="126"/>
      <c r="F16" s="126"/>
      <c r="G16" s="126"/>
      <c r="H16" s="126"/>
      <c r="I16" s="126"/>
      <c r="J16" s="127"/>
      <c r="S16" s="3"/>
    </row>
    <row r="17" spans="1:19" ht="21" customHeight="1">
      <c r="A17" s="134"/>
      <c r="B17" s="125" t="s">
        <v>35</v>
      </c>
      <c r="C17" s="126"/>
      <c r="D17" s="126"/>
      <c r="E17" s="126"/>
      <c r="F17" s="126"/>
      <c r="G17" s="126"/>
      <c r="H17" s="126"/>
      <c r="I17" s="126"/>
      <c r="J17" s="127"/>
      <c r="L17" s="162"/>
      <c r="M17" s="163"/>
      <c r="N17" s="40" t="s">
        <v>86</v>
      </c>
      <c r="O17" s="41"/>
      <c r="P17" s="41"/>
      <c r="Q17" s="42">
        <v>9620</v>
      </c>
      <c r="S17" s="3"/>
    </row>
    <row r="18" spans="1:19" ht="15.75" customHeight="1">
      <c r="A18" s="134"/>
      <c r="B18" s="164" t="s">
        <v>97</v>
      </c>
      <c r="C18" s="165"/>
      <c r="D18" s="165"/>
      <c r="E18" s="165"/>
      <c r="F18" s="165"/>
      <c r="G18" s="43">
        <v>160000</v>
      </c>
      <c r="H18" s="166" t="s">
        <v>37</v>
      </c>
      <c r="I18" s="166"/>
      <c r="J18" s="167"/>
      <c r="L18" s="162"/>
      <c r="M18" s="163"/>
      <c r="P18" s="44"/>
      <c r="S18" s="3"/>
    </row>
    <row r="19" spans="1:19" ht="15.75" customHeight="1">
      <c r="A19" s="134"/>
      <c r="B19" s="179" t="s">
        <v>136</v>
      </c>
      <c r="C19" s="180"/>
      <c r="D19" s="180"/>
      <c r="E19" s="180"/>
      <c r="F19" s="180"/>
      <c r="G19" s="180"/>
      <c r="H19" s="180"/>
      <c r="I19" s="180"/>
      <c r="J19" s="181"/>
      <c r="L19" s="45" t="s">
        <v>39</v>
      </c>
      <c r="M19" s="45"/>
      <c r="N19" s="45"/>
      <c r="O19" s="45"/>
      <c r="P19" s="45"/>
      <c r="Q19" s="46"/>
      <c r="S19" s="3"/>
    </row>
    <row r="20" spans="1:19" ht="15.75" customHeight="1">
      <c r="A20" s="82"/>
      <c r="B20" s="179" t="s">
        <v>73</v>
      </c>
      <c r="C20" s="180"/>
      <c r="D20" s="180"/>
      <c r="E20" s="180"/>
      <c r="F20" s="180"/>
      <c r="G20" s="180"/>
      <c r="H20" s="180"/>
      <c r="I20" s="180"/>
      <c r="J20" s="181"/>
      <c r="L20" s="45" t="s">
        <v>44</v>
      </c>
      <c r="M20" s="45"/>
      <c r="N20" s="45"/>
      <c r="O20" s="45"/>
      <c r="P20" s="45"/>
      <c r="Q20" s="46"/>
      <c r="S20" s="3"/>
    </row>
    <row r="21" spans="1:19" ht="15.75" customHeight="1">
      <c r="A21" s="82"/>
      <c r="B21" s="193" t="s">
        <v>137</v>
      </c>
      <c r="C21" s="194"/>
      <c r="D21" s="194"/>
      <c r="E21" s="194"/>
      <c r="F21" s="194"/>
      <c r="G21" s="194"/>
      <c r="H21" s="194"/>
      <c r="I21" s="194"/>
      <c r="J21" s="195"/>
      <c r="L21" s="45" t="s">
        <v>46</v>
      </c>
      <c r="M21" s="45"/>
      <c r="N21" s="45"/>
      <c r="O21" s="45"/>
      <c r="P21" s="45"/>
      <c r="Q21" s="46"/>
      <c r="S21" s="3"/>
    </row>
    <row r="22" spans="1:19" ht="18.75" customHeight="1">
      <c r="A22" s="119" t="s">
        <v>40</v>
      </c>
      <c r="B22" s="146" t="s">
        <v>41</v>
      </c>
      <c r="C22" s="147"/>
      <c r="D22" s="47" t="s">
        <v>24</v>
      </c>
      <c r="E22" s="47" t="s">
        <v>42</v>
      </c>
      <c r="F22" s="47" t="s">
        <v>31</v>
      </c>
      <c r="G22" s="148" t="s">
        <v>43</v>
      </c>
      <c r="H22" s="149"/>
      <c r="I22" s="148" t="s">
        <v>33</v>
      </c>
      <c r="J22" s="150"/>
      <c r="L22" s="45" t="s">
        <v>48</v>
      </c>
      <c r="M22" s="45"/>
      <c r="N22" s="45"/>
      <c r="O22" s="45"/>
      <c r="P22" s="45"/>
      <c r="Q22" s="46"/>
      <c r="R22" s="45"/>
      <c r="S22" s="2"/>
    </row>
    <row r="23" spans="1:19" ht="18.75" customHeight="1">
      <c r="A23" s="120"/>
      <c r="B23" s="151" t="s">
        <v>45</v>
      </c>
      <c r="C23" s="152"/>
      <c r="D23" s="48">
        <f>Q10</f>
        <v>0.6734250543084721</v>
      </c>
      <c r="E23" s="48">
        <f>Q11</f>
        <v>0.1346850108616944</v>
      </c>
      <c r="F23" s="48">
        <f>Q12</f>
        <v>7.7583531602358535E-2</v>
      </c>
      <c r="G23" s="153">
        <f>Q13</f>
        <v>5.6118754525706006E-2</v>
      </c>
      <c r="H23" s="154"/>
      <c r="I23" s="153">
        <f>Q14</f>
        <v>5.8187648701768908E-2</v>
      </c>
      <c r="J23" s="155"/>
      <c r="L23" s="45"/>
      <c r="M23" s="45"/>
      <c r="N23" s="45"/>
      <c r="O23" s="45"/>
      <c r="P23" s="45"/>
      <c r="Q23" s="45"/>
      <c r="R23" s="45"/>
      <c r="S23" s="2"/>
    </row>
    <row r="24" spans="1:19" ht="18.75" customHeight="1">
      <c r="A24" s="121"/>
      <c r="B24" s="49" t="s">
        <v>47</v>
      </c>
      <c r="C24" s="50">
        <f>G11</f>
        <v>13468.501086169443</v>
      </c>
      <c r="D24" s="51">
        <f>G18*$D$23</f>
        <v>107748.00868935554</v>
      </c>
      <c r="E24" s="52">
        <f>G18*$E$23</f>
        <v>21549.601737871104</v>
      </c>
      <c r="F24" s="51">
        <f>G18*$F$23</f>
        <v>12413.365056377366</v>
      </c>
      <c r="G24" s="156">
        <f>G18*$G$23</f>
        <v>8979.0007241129606</v>
      </c>
      <c r="H24" s="157"/>
      <c r="I24" s="158">
        <f>G18*$I$23</f>
        <v>9310.0237922830256</v>
      </c>
      <c r="J24" s="159"/>
      <c r="L24" s="45"/>
      <c r="M24" s="45"/>
      <c r="N24" s="45"/>
      <c r="O24" s="45"/>
      <c r="P24" s="45"/>
      <c r="Q24" s="45"/>
      <c r="R24" s="45"/>
      <c r="S24" s="2"/>
    </row>
    <row r="25" spans="1:19" ht="54.75" customHeight="1">
      <c r="A25" s="119" t="s">
        <v>49</v>
      </c>
      <c r="B25" s="135" t="s">
        <v>130</v>
      </c>
      <c r="C25" s="136"/>
      <c r="D25" s="136"/>
      <c r="E25" s="136"/>
      <c r="F25" s="136"/>
      <c r="G25" s="136"/>
      <c r="H25" s="136"/>
      <c r="I25" s="136"/>
      <c r="J25" s="137"/>
      <c r="L25" s="45" t="s">
        <v>14</v>
      </c>
      <c r="M25" s="45"/>
      <c r="N25" s="45"/>
      <c r="O25" s="45"/>
      <c r="P25" s="45"/>
      <c r="Q25" s="46"/>
      <c r="S25" s="2"/>
    </row>
    <row r="26" spans="1:19" ht="66.75" customHeight="1">
      <c r="A26" s="134"/>
      <c r="B26" s="138"/>
      <c r="C26" s="139"/>
      <c r="D26" s="139"/>
      <c r="E26" s="139"/>
      <c r="F26" s="139"/>
      <c r="G26" s="139"/>
      <c r="H26" s="139"/>
      <c r="I26" s="139"/>
      <c r="J26" s="140"/>
      <c r="L26" s="45" t="s">
        <v>14</v>
      </c>
      <c r="M26" s="45"/>
      <c r="N26" s="45"/>
      <c r="O26" s="45"/>
      <c r="P26" s="45"/>
      <c r="Q26" s="46"/>
      <c r="S26" s="2"/>
    </row>
    <row r="27" spans="1:19" ht="27.75" customHeight="1">
      <c r="A27" s="141" t="s">
        <v>50</v>
      </c>
      <c r="B27" s="122" t="s">
        <v>70</v>
      </c>
      <c r="C27" s="123"/>
      <c r="D27" s="123"/>
      <c r="E27" s="123"/>
      <c r="F27" s="123"/>
      <c r="G27" s="123"/>
      <c r="H27" s="123"/>
      <c r="I27" s="123"/>
      <c r="J27" s="124"/>
      <c r="L27" s="3">
        <f>C24*8</f>
        <v>107748.00868935554</v>
      </c>
      <c r="M27" s="53">
        <f>E24*5</f>
        <v>107748.00868935551</v>
      </c>
      <c r="N27" s="45"/>
      <c r="O27" s="53"/>
      <c r="P27" s="54"/>
      <c r="Q27" s="53"/>
      <c r="R27" s="55"/>
      <c r="S27" s="56"/>
    </row>
    <row r="28" spans="1:19" ht="27.75" customHeight="1">
      <c r="A28" s="142"/>
      <c r="B28" s="128"/>
      <c r="C28" s="129"/>
      <c r="D28" s="129"/>
      <c r="E28" s="129"/>
      <c r="F28" s="129"/>
      <c r="G28" s="129"/>
      <c r="H28" s="129"/>
      <c r="I28" s="129"/>
      <c r="J28" s="130"/>
      <c r="L28" s="3"/>
      <c r="M28" s="54"/>
      <c r="R28" s="55"/>
      <c r="S28" s="56"/>
    </row>
    <row r="29" spans="1:19" ht="40.5" customHeight="1">
      <c r="A29" s="57" t="s">
        <v>51</v>
      </c>
      <c r="B29" s="122" t="s">
        <v>68</v>
      </c>
      <c r="C29" s="123"/>
      <c r="D29" s="123"/>
      <c r="E29" s="123"/>
      <c r="F29" s="123"/>
      <c r="G29" s="123"/>
      <c r="H29" s="123"/>
      <c r="I29" s="123"/>
      <c r="J29" s="124"/>
      <c r="L29" s="143" t="s">
        <v>52</v>
      </c>
      <c r="M29" s="143"/>
      <c r="N29" s="143"/>
      <c r="O29" s="143"/>
      <c r="P29" s="143"/>
      <c r="Q29" s="143"/>
      <c r="R29" s="55"/>
      <c r="S29" s="56"/>
    </row>
    <row r="30" spans="1:19" ht="23.25" customHeight="1">
      <c r="A30" s="119" t="s">
        <v>53</v>
      </c>
      <c r="B30" s="122" t="s">
        <v>71</v>
      </c>
      <c r="C30" s="123"/>
      <c r="D30" s="123"/>
      <c r="E30" s="123"/>
      <c r="F30" s="123"/>
      <c r="G30" s="123"/>
      <c r="H30" s="123"/>
      <c r="I30" s="123"/>
      <c r="J30" s="124"/>
      <c r="L30" s="143"/>
      <c r="M30" s="143"/>
      <c r="N30" s="143"/>
      <c r="O30" s="143"/>
      <c r="P30" s="143"/>
      <c r="Q30" s="143"/>
      <c r="R30" s="55"/>
      <c r="S30" s="55"/>
    </row>
    <row r="31" spans="1:19" ht="23.25" customHeight="1">
      <c r="A31" s="120"/>
      <c r="B31" s="125"/>
      <c r="C31" s="126"/>
      <c r="D31" s="126"/>
      <c r="E31" s="126"/>
      <c r="F31" s="126"/>
      <c r="G31" s="126"/>
      <c r="H31" s="126"/>
      <c r="I31" s="126"/>
      <c r="J31" s="127"/>
      <c r="L31" s="143"/>
      <c r="M31" s="143"/>
      <c r="N31" s="143"/>
      <c r="O31" s="143"/>
      <c r="P31" s="143"/>
      <c r="Q31" s="143"/>
      <c r="S31" s="2"/>
    </row>
    <row r="32" spans="1:19" ht="23.25" customHeight="1">
      <c r="A32" s="120"/>
      <c r="B32" s="125"/>
      <c r="C32" s="126"/>
      <c r="D32" s="126"/>
      <c r="E32" s="126"/>
      <c r="F32" s="126"/>
      <c r="G32" s="126"/>
      <c r="H32" s="126"/>
      <c r="I32" s="126"/>
      <c r="J32" s="127"/>
      <c r="L32" s="143"/>
      <c r="M32" s="143"/>
      <c r="N32" s="143"/>
      <c r="O32" s="143"/>
      <c r="P32" s="143"/>
      <c r="Q32" s="143"/>
      <c r="S32" s="2"/>
    </row>
    <row r="33" spans="1:19" ht="23.25" customHeight="1">
      <c r="A33" s="120"/>
      <c r="B33" s="125"/>
      <c r="C33" s="126"/>
      <c r="D33" s="126"/>
      <c r="E33" s="126"/>
      <c r="F33" s="126"/>
      <c r="G33" s="126"/>
      <c r="H33" s="126"/>
      <c r="I33" s="126"/>
      <c r="J33" s="127"/>
      <c r="L33" s="18"/>
      <c r="M33" s="18"/>
      <c r="N33" s="18"/>
      <c r="O33" s="18"/>
      <c r="P33" s="18"/>
      <c r="S33" s="2"/>
    </row>
    <row r="34" spans="1:19" ht="23.25" customHeight="1">
      <c r="A34" s="120"/>
      <c r="B34" s="125"/>
      <c r="C34" s="126"/>
      <c r="D34" s="126"/>
      <c r="E34" s="126"/>
      <c r="F34" s="126"/>
      <c r="G34" s="126"/>
      <c r="H34" s="126"/>
      <c r="I34" s="126"/>
      <c r="J34" s="127"/>
      <c r="L34" s="58"/>
      <c r="M34" s="58"/>
      <c r="N34" s="58"/>
      <c r="O34" s="144"/>
      <c r="P34" s="144"/>
      <c r="Q34" s="59"/>
      <c r="S34" s="2"/>
    </row>
    <row r="35" spans="1:19" ht="28.5" customHeight="1">
      <c r="A35" s="121"/>
      <c r="B35" s="128"/>
      <c r="C35" s="129"/>
      <c r="D35" s="129"/>
      <c r="E35" s="129"/>
      <c r="F35" s="129"/>
      <c r="G35" s="129"/>
      <c r="H35" s="129"/>
      <c r="I35" s="129"/>
      <c r="J35" s="130"/>
      <c r="L35" s="60"/>
      <c r="M35" s="60"/>
      <c r="N35" s="60"/>
      <c r="O35" s="145"/>
      <c r="P35" s="145"/>
      <c r="Q35" s="61"/>
      <c r="S35" s="2"/>
    </row>
    <row r="36" spans="1:19" ht="21" customHeight="1">
      <c r="A36" s="119" t="s">
        <v>54</v>
      </c>
      <c r="B36" s="122" t="s">
        <v>140</v>
      </c>
      <c r="C36" s="123"/>
      <c r="D36" s="123"/>
      <c r="E36" s="123"/>
      <c r="F36" s="123"/>
      <c r="G36" s="123"/>
      <c r="H36" s="123"/>
      <c r="I36" s="123"/>
      <c r="J36" s="124"/>
      <c r="L36" s="62"/>
      <c r="M36" s="63"/>
      <c r="N36" s="62"/>
      <c r="O36" s="131"/>
      <c r="P36" s="131"/>
      <c r="Q36" s="64"/>
      <c r="R36" s="65"/>
      <c r="S36" s="2"/>
    </row>
    <row r="37" spans="1:19" ht="19.5" customHeight="1">
      <c r="A37" s="120"/>
      <c r="B37" s="125"/>
      <c r="C37" s="126"/>
      <c r="D37" s="126"/>
      <c r="E37" s="126"/>
      <c r="F37" s="126"/>
      <c r="G37" s="126"/>
      <c r="H37" s="126"/>
      <c r="I37" s="126"/>
      <c r="J37" s="127"/>
      <c r="L37" s="66"/>
      <c r="M37" s="67"/>
      <c r="N37" s="66"/>
      <c r="O37" s="132"/>
      <c r="P37" s="132"/>
      <c r="Q37" s="68"/>
      <c r="R37" s="69"/>
      <c r="S37" s="2"/>
    </row>
    <row r="38" spans="1:19" ht="19.5" customHeight="1">
      <c r="A38" s="120"/>
      <c r="B38" s="125"/>
      <c r="C38" s="126"/>
      <c r="D38" s="126"/>
      <c r="E38" s="126"/>
      <c r="F38" s="126"/>
      <c r="G38" s="126"/>
      <c r="H38" s="126"/>
      <c r="I38" s="126"/>
      <c r="J38" s="127"/>
      <c r="L38" s="70"/>
      <c r="M38" s="71"/>
      <c r="N38" s="70"/>
      <c r="O38" s="133"/>
      <c r="P38" s="133"/>
      <c r="Q38" s="72"/>
      <c r="R38" s="73"/>
      <c r="S38" s="2"/>
    </row>
    <row r="39" spans="1:19" ht="19.5" customHeight="1">
      <c r="A39" s="120"/>
      <c r="B39" s="125"/>
      <c r="C39" s="126"/>
      <c r="D39" s="126"/>
      <c r="E39" s="126"/>
      <c r="F39" s="126"/>
      <c r="G39" s="126"/>
      <c r="H39" s="126"/>
      <c r="I39" s="126"/>
      <c r="J39" s="127"/>
      <c r="L39" s="70"/>
      <c r="M39" s="71"/>
      <c r="N39" s="70"/>
      <c r="O39" s="70"/>
      <c r="P39" s="70"/>
      <c r="Q39" s="72"/>
      <c r="R39" s="73"/>
      <c r="S39" s="2"/>
    </row>
    <row r="40" spans="1:19" ht="19.5" customHeight="1">
      <c r="A40" s="121"/>
      <c r="B40" s="128"/>
      <c r="C40" s="129"/>
      <c r="D40" s="129"/>
      <c r="E40" s="129"/>
      <c r="F40" s="129"/>
      <c r="G40" s="129"/>
      <c r="H40" s="129"/>
      <c r="I40" s="129"/>
      <c r="J40" s="130"/>
      <c r="L40" s="70"/>
      <c r="M40" s="71"/>
      <c r="N40" s="70"/>
      <c r="O40" s="133"/>
      <c r="P40" s="133"/>
      <c r="Q40" s="72"/>
      <c r="R40" s="73"/>
      <c r="S40" s="2"/>
    </row>
    <row r="41" spans="1:19" ht="17.100000000000001" customHeight="1">
      <c r="A41" s="119" t="s">
        <v>75</v>
      </c>
      <c r="B41" s="220" t="s">
        <v>76</v>
      </c>
      <c r="C41" s="221"/>
      <c r="D41" s="84"/>
      <c r="E41" s="84"/>
      <c r="F41" s="84"/>
      <c r="G41" s="84"/>
      <c r="H41" s="84"/>
      <c r="I41" s="84"/>
      <c r="J41" s="93"/>
      <c r="L41" s="70"/>
      <c r="M41" s="71"/>
      <c r="N41" s="70"/>
      <c r="O41" s="70"/>
      <c r="P41" s="70"/>
      <c r="Q41" s="72"/>
      <c r="R41" s="73"/>
      <c r="S41" s="2"/>
    </row>
    <row r="42" spans="1:19" ht="19.5" customHeight="1">
      <c r="A42" s="120"/>
      <c r="B42" s="216" t="s">
        <v>77</v>
      </c>
      <c r="C42" s="217"/>
      <c r="D42" s="216" t="s">
        <v>78</v>
      </c>
      <c r="E42" s="217"/>
      <c r="F42" s="216" t="s">
        <v>79</v>
      </c>
      <c r="G42" s="217"/>
      <c r="H42" s="216" t="s">
        <v>80</v>
      </c>
      <c r="I42" s="217"/>
      <c r="J42" s="86" t="s">
        <v>81</v>
      </c>
      <c r="L42" s="70"/>
      <c r="M42" s="71"/>
      <c r="N42" s="70"/>
      <c r="O42" s="70"/>
      <c r="P42" s="70"/>
      <c r="Q42" s="72"/>
      <c r="R42" s="73"/>
      <c r="S42" s="2"/>
    </row>
    <row r="43" spans="1:19" ht="19.5" customHeight="1">
      <c r="A43" s="120"/>
      <c r="B43" s="218" t="s">
        <v>87</v>
      </c>
      <c r="C43" s="219"/>
      <c r="D43" s="218" t="s">
        <v>87</v>
      </c>
      <c r="E43" s="219"/>
      <c r="F43" s="218" t="s">
        <v>87</v>
      </c>
      <c r="G43" s="219"/>
      <c r="H43" s="218" t="s">
        <v>87</v>
      </c>
      <c r="I43" s="219"/>
      <c r="J43" s="90" t="s">
        <v>87</v>
      </c>
      <c r="L43" s="70"/>
      <c r="M43" s="71"/>
      <c r="N43" s="70"/>
      <c r="O43" s="70"/>
      <c r="P43" s="70"/>
      <c r="Q43" s="72"/>
      <c r="R43" s="73"/>
      <c r="S43" s="2"/>
    </row>
    <row r="44" spans="1:19" ht="19.5" customHeight="1">
      <c r="A44" s="121"/>
      <c r="B44" s="220" t="s">
        <v>142</v>
      </c>
      <c r="C44" s="221"/>
      <c r="D44" s="221"/>
      <c r="E44" s="221"/>
      <c r="F44" s="221"/>
      <c r="G44" s="221"/>
      <c r="H44" s="221"/>
      <c r="I44" s="221"/>
      <c r="J44" s="222"/>
      <c r="L44" s="70"/>
      <c r="M44" s="71"/>
      <c r="N44" s="70"/>
      <c r="O44" s="70"/>
      <c r="P44" s="70"/>
      <c r="Q44" s="72"/>
      <c r="R44" s="73"/>
      <c r="S44" s="2"/>
    </row>
    <row r="45" spans="1:19" ht="21" customHeight="1">
      <c r="A45" s="74" t="s">
        <v>56</v>
      </c>
      <c r="B45" s="105" t="s">
        <v>143</v>
      </c>
      <c r="C45" s="106"/>
      <c r="D45" s="106"/>
      <c r="E45" s="106"/>
      <c r="F45" s="106"/>
      <c r="G45" s="106"/>
      <c r="H45" s="106"/>
      <c r="I45" s="106"/>
      <c r="J45" s="107"/>
      <c r="S45" s="2"/>
    </row>
    <row r="46" spans="1:19" ht="19.5" customHeight="1">
      <c r="A46" s="108" t="s">
        <v>145</v>
      </c>
      <c r="B46" s="109"/>
      <c r="C46" s="109"/>
      <c r="D46" s="109"/>
      <c r="E46" s="109"/>
      <c r="F46" s="109"/>
      <c r="G46" s="109"/>
      <c r="H46" s="109"/>
      <c r="I46" s="109"/>
      <c r="J46" s="110"/>
      <c r="S46" s="3"/>
    </row>
    <row r="47" spans="1:19" s="75" customFormat="1" ht="23.25" customHeight="1">
      <c r="A47" s="111" t="s">
        <v>58</v>
      </c>
      <c r="B47" s="112"/>
      <c r="C47" s="112"/>
      <c r="D47" s="112"/>
      <c r="E47" s="112"/>
      <c r="F47" s="112" t="s">
        <v>59</v>
      </c>
      <c r="G47" s="112"/>
      <c r="H47" s="112"/>
      <c r="I47" s="112"/>
      <c r="J47" s="113"/>
      <c r="S47" s="41"/>
    </row>
    <row r="48" spans="1:19" ht="23.25" customHeight="1">
      <c r="A48" s="114" t="s">
        <v>60</v>
      </c>
      <c r="B48" s="115"/>
      <c r="C48" s="116" t="str">
        <f>A4</f>
        <v>㈜강구토건 대표 이진호</v>
      </c>
      <c r="D48" s="116"/>
      <c r="E48" s="116"/>
      <c r="F48" s="76" t="s">
        <v>61</v>
      </c>
      <c r="G48" s="240" t="s">
        <v>144</v>
      </c>
      <c r="H48" s="240"/>
      <c r="I48" s="240"/>
      <c r="J48" s="241"/>
      <c r="S48" s="3"/>
    </row>
    <row r="49" spans="1:19" ht="23.25" customHeight="1">
      <c r="A49" s="100" t="s">
        <v>62</v>
      </c>
      <c r="B49" s="101"/>
      <c r="C49" s="102" t="s">
        <v>84</v>
      </c>
      <c r="D49" s="102"/>
      <c r="E49" s="102"/>
      <c r="F49" s="77" t="s">
        <v>63</v>
      </c>
      <c r="G49" s="238"/>
      <c r="H49" s="238"/>
      <c r="I49" s="238"/>
      <c r="J49" s="239"/>
      <c r="S49" s="3"/>
    </row>
    <row r="50" spans="1:19" ht="23.25" customHeight="1">
      <c r="A50" s="100" t="s">
        <v>64</v>
      </c>
      <c r="B50" s="101"/>
      <c r="C50" s="103"/>
      <c r="D50" s="103"/>
      <c r="E50" s="103"/>
      <c r="F50" s="78" t="s">
        <v>65</v>
      </c>
      <c r="G50" s="238"/>
      <c r="H50" s="238"/>
      <c r="I50" s="238"/>
      <c r="J50" s="239"/>
      <c r="S50" s="3"/>
    </row>
    <row r="51" spans="1:19" ht="23.25" customHeight="1" thickBot="1">
      <c r="A51" s="95" t="s">
        <v>66</v>
      </c>
      <c r="B51" s="96"/>
      <c r="C51" s="97" t="s">
        <v>141</v>
      </c>
      <c r="D51" s="97"/>
      <c r="E51" s="97"/>
      <c r="F51" s="79" t="s">
        <v>67</v>
      </c>
      <c r="G51" s="236"/>
      <c r="H51" s="236"/>
      <c r="I51" s="236"/>
      <c r="J51" s="237"/>
      <c r="S51" s="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phoneticPr fontId="3" type="noConversion"/>
  <pageMargins left="0.7" right="0.7" top="0.75" bottom="0.75" header="0.3" footer="0.3"/>
  <pageSetup paperSize="9" scale="65" orientation="portrait" r:id="rId1"/>
  <colBreaks count="1" manualBreakCount="1">
    <brk id="10" max="1048575" man="1"/>
  </col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1"/>
  <sheetViews>
    <sheetView view="pageBreakPreview" zoomScaleNormal="100" zoomScaleSheetLayoutView="100" workbookViewId="0">
      <selection activeCell="B15" sqref="B15:J16"/>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96" t="s">
        <v>203</v>
      </c>
      <c r="B1" s="196"/>
      <c r="C1" s="196"/>
      <c r="D1" s="196"/>
      <c r="E1" s="196"/>
      <c r="F1" s="1"/>
      <c r="G1" s="1"/>
      <c r="H1" s="1"/>
      <c r="I1" s="1"/>
      <c r="J1" s="1"/>
      <c r="L1" s="197" t="s">
        <v>0</v>
      </c>
      <c r="M1" s="197"/>
      <c r="N1" s="197"/>
      <c r="O1" s="197"/>
      <c r="P1" s="197"/>
      <c r="Q1" s="197"/>
      <c r="S1" s="3"/>
    </row>
    <row r="2" spans="1:19" ht="27" customHeight="1">
      <c r="A2" s="198" t="s">
        <v>1</v>
      </c>
      <c r="B2" s="198"/>
      <c r="C2" s="198"/>
      <c r="D2" s="198"/>
      <c r="E2" s="198"/>
      <c r="F2" s="198"/>
      <c r="G2" s="198"/>
      <c r="H2" s="198"/>
      <c r="I2" s="198"/>
      <c r="J2" s="198"/>
      <c r="L2" s="197"/>
      <c r="M2" s="197"/>
      <c r="N2" s="197"/>
      <c r="O2" s="197"/>
      <c r="P2" s="197"/>
      <c r="Q2" s="197"/>
      <c r="S2" s="3"/>
    </row>
    <row r="3" spans="1:19" ht="6" customHeight="1" thickBot="1">
      <c r="A3" s="1"/>
      <c r="B3" s="1"/>
      <c r="C3" s="1"/>
      <c r="D3" s="1"/>
      <c r="E3" s="1"/>
      <c r="F3" s="1"/>
      <c r="G3" s="1"/>
      <c r="H3" s="1"/>
      <c r="I3" s="1"/>
      <c r="J3" s="1"/>
      <c r="K3" s="4"/>
      <c r="L3" s="199" t="s">
        <v>2</v>
      </c>
      <c r="M3" s="199"/>
      <c r="N3" s="199"/>
      <c r="O3" s="199"/>
      <c r="P3" s="199"/>
      <c r="S3" s="3"/>
    </row>
    <row r="4" spans="1:19" ht="17.25" customHeight="1">
      <c r="A4" s="200" t="s">
        <v>74</v>
      </c>
      <c r="B4" s="201"/>
      <c r="C4" s="202" t="s">
        <v>3</v>
      </c>
      <c r="D4" s="202"/>
      <c r="E4" s="88"/>
      <c r="F4" s="202" t="s">
        <v>5</v>
      </c>
      <c r="G4" s="202"/>
      <c r="H4" s="202"/>
      <c r="I4" s="202"/>
      <c r="J4" s="203"/>
      <c r="K4" s="5"/>
      <c r="L4" s="199"/>
      <c r="M4" s="199"/>
      <c r="N4" s="199"/>
      <c r="O4" s="199"/>
      <c r="P4" s="199"/>
      <c r="S4" s="3"/>
    </row>
    <row r="5" spans="1:19" ht="15" customHeight="1" thickBot="1">
      <c r="A5" s="204" t="s">
        <v>6</v>
      </c>
      <c r="B5" s="205"/>
      <c r="C5" s="205"/>
      <c r="D5" s="205"/>
      <c r="E5" s="205"/>
      <c r="F5" s="205"/>
      <c r="G5" s="205"/>
      <c r="H5" s="205"/>
      <c r="I5" s="205"/>
      <c r="J5" s="206"/>
      <c r="K5" s="5"/>
      <c r="L5" s="6" t="s">
        <v>2</v>
      </c>
      <c r="M5" s="7"/>
      <c r="N5" s="8"/>
      <c r="O5" s="9"/>
      <c r="P5" s="9"/>
      <c r="S5" s="3"/>
    </row>
    <row r="6" spans="1:19" ht="21.75" customHeight="1" thickBot="1">
      <c r="A6" s="10" t="s">
        <v>7</v>
      </c>
      <c r="B6" s="207"/>
      <c r="C6" s="208"/>
      <c r="D6" s="208"/>
      <c r="E6" s="209"/>
      <c r="F6" s="210" t="s">
        <v>8</v>
      </c>
      <c r="G6" s="211"/>
      <c r="H6" s="212"/>
      <c r="I6" s="213"/>
      <c r="J6" s="214"/>
      <c r="L6" s="11" t="s">
        <v>9</v>
      </c>
      <c r="M6" s="12"/>
      <c r="N6" s="13" t="s">
        <v>10</v>
      </c>
      <c r="O6" s="14">
        <v>8</v>
      </c>
      <c r="P6" s="15" t="s">
        <v>11</v>
      </c>
      <c r="Q6" s="16">
        <v>6</v>
      </c>
      <c r="S6" s="3"/>
    </row>
    <row r="7" spans="1:19" ht="21.75" customHeight="1">
      <c r="A7" s="17" t="s">
        <v>12</v>
      </c>
      <c r="B7" s="170"/>
      <c r="C7" s="170"/>
      <c r="D7" s="170"/>
      <c r="E7" s="170"/>
      <c r="F7" s="215" t="s">
        <v>13</v>
      </c>
      <c r="G7" s="215"/>
      <c r="H7" s="170"/>
      <c r="I7" s="170"/>
      <c r="J7" s="171"/>
      <c r="L7" s="18"/>
      <c r="M7" s="18"/>
      <c r="N7" s="18"/>
      <c r="O7" s="18"/>
      <c r="P7" s="18"/>
      <c r="S7" s="3"/>
    </row>
    <row r="8" spans="1:19" ht="18" customHeight="1" thickBot="1">
      <c r="A8" s="141" t="s">
        <v>15</v>
      </c>
      <c r="B8" s="182" t="s">
        <v>150</v>
      </c>
      <c r="C8" s="183"/>
      <c r="D8" s="184" t="s">
        <v>151</v>
      </c>
      <c r="E8" s="183"/>
      <c r="F8" s="19" t="s">
        <v>16</v>
      </c>
      <c r="G8" s="185" t="s">
        <v>17</v>
      </c>
      <c r="H8" s="185"/>
      <c r="I8" s="185"/>
      <c r="J8" s="186"/>
      <c r="L8" s="8"/>
      <c r="M8" s="8"/>
      <c r="N8" s="8"/>
      <c r="O8" s="8"/>
      <c r="P8" s="8"/>
      <c r="S8" s="3"/>
    </row>
    <row r="9" spans="1:19" ht="12" customHeight="1">
      <c r="A9" s="134"/>
      <c r="B9" s="187" t="s">
        <v>69</v>
      </c>
      <c r="C9" s="188"/>
      <c r="D9" s="188"/>
      <c r="E9" s="188"/>
      <c r="F9" s="188"/>
      <c r="G9" s="188"/>
      <c r="H9" s="188"/>
      <c r="I9" s="188"/>
      <c r="J9" s="189"/>
      <c r="L9" s="20" t="s">
        <v>18</v>
      </c>
      <c r="M9" s="21" t="s">
        <v>19</v>
      </c>
      <c r="N9" s="21" t="s">
        <v>20</v>
      </c>
      <c r="O9" s="21" t="s">
        <v>21</v>
      </c>
      <c r="P9" s="21" t="s">
        <v>22</v>
      </c>
      <c r="Q9" s="22" t="s">
        <v>23</v>
      </c>
      <c r="S9" s="3"/>
    </row>
    <row r="10" spans="1:19" ht="30" customHeight="1">
      <c r="A10" s="142"/>
      <c r="B10" s="190"/>
      <c r="C10" s="191"/>
      <c r="D10" s="191"/>
      <c r="E10" s="191"/>
      <c r="F10" s="191"/>
      <c r="G10" s="191"/>
      <c r="H10" s="191"/>
      <c r="I10" s="191"/>
      <c r="J10" s="192"/>
      <c r="K10" s="23" t="s">
        <v>14</v>
      </c>
      <c r="L10" s="24" t="s">
        <v>24</v>
      </c>
      <c r="M10" s="25">
        <v>48</v>
      </c>
      <c r="N10" s="26">
        <v>1</v>
      </c>
      <c r="O10" s="27">
        <v>4.34</v>
      </c>
      <c r="P10" s="28">
        <f>M10*O10</f>
        <v>208.32</v>
      </c>
      <c r="Q10" s="29">
        <f>P10/P15</f>
        <v>0.6734250543084721</v>
      </c>
      <c r="S10" s="3"/>
    </row>
    <row r="11" spans="1:19" ht="19.5" customHeight="1">
      <c r="A11" s="141" t="s">
        <v>25</v>
      </c>
      <c r="B11" s="172" t="s">
        <v>26</v>
      </c>
      <c r="C11" s="173"/>
      <c r="D11" s="173"/>
      <c r="E11" s="30">
        <f>D24</f>
        <v>107748.00868935554</v>
      </c>
      <c r="F11" s="31" t="s">
        <v>27</v>
      </c>
      <c r="G11" s="32">
        <f>E11/8</f>
        <v>13468.501086169443</v>
      </c>
      <c r="H11" s="174" t="s">
        <v>28</v>
      </c>
      <c r="I11" s="174"/>
      <c r="J11" s="175"/>
      <c r="L11" s="24" t="s">
        <v>29</v>
      </c>
      <c r="M11" s="25">
        <v>9.6</v>
      </c>
      <c r="N11" s="26">
        <v>1</v>
      </c>
      <c r="O11" s="27">
        <v>4.34</v>
      </c>
      <c r="P11" s="28">
        <f>M11*O11</f>
        <v>41.663999999999994</v>
      </c>
      <c r="Q11" s="33">
        <f>P11/P15</f>
        <v>0.1346850108616944</v>
      </c>
      <c r="S11" s="3"/>
    </row>
    <row r="12" spans="1:19" ht="17.25" customHeight="1">
      <c r="A12" s="134"/>
      <c r="B12" s="176" t="s">
        <v>30</v>
      </c>
      <c r="C12" s="177"/>
      <c r="D12" s="177"/>
      <c r="E12" s="177"/>
      <c r="F12" s="177"/>
      <c r="G12" s="177"/>
      <c r="H12" s="177"/>
      <c r="I12" s="177"/>
      <c r="J12" s="178"/>
      <c r="L12" s="24" t="s">
        <v>31</v>
      </c>
      <c r="M12" s="25">
        <v>12</v>
      </c>
      <c r="N12" s="26">
        <v>1</v>
      </c>
      <c r="O12" s="27">
        <v>2</v>
      </c>
      <c r="P12" s="28">
        <f>M12*N12*O12</f>
        <v>24</v>
      </c>
      <c r="Q12" s="33">
        <f>P12/P15</f>
        <v>7.7583531602358535E-2</v>
      </c>
      <c r="R12" s="227"/>
      <c r="S12" s="228"/>
    </row>
    <row r="13" spans="1:19" ht="17.25" customHeight="1">
      <c r="A13" s="134"/>
      <c r="B13" s="176"/>
      <c r="C13" s="177"/>
      <c r="D13" s="177"/>
      <c r="E13" s="177"/>
      <c r="F13" s="177"/>
      <c r="G13" s="177"/>
      <c r="H13" s="177"/>
      <c r="I13" s="177"/>
      <c r="J13" s="178"/>
      <c r="L13" s="24" t="s">
        <v>32</v>
      </c>
      <c r="M13" s="25">
        <v>8</v>
      </c>
      <c r="N13" s="26">
        <v>0.5</v>
      </c>
      <c r="O13" s="27">
        <v>4.34</v>
      </c>
      <c r="P13" s="28">
        <f>M13*N13*O13</f>
        <v>17.36</v>
      </c>
      <c r="Q13" s="34">
        <f>P13/P15</f>
        <v>5.6118754525706006E-2</v>
      </c>
      <c r="S13" s="3"/>
    </row>
    <row r="14" spans="1:19" ht="17.25" customHeight="1">
      <c r="A14" s="134"/>
      <c r="B14" s="176"/>
      <c r="C14" s="177"/>
      <c r="D14" s="177"/>
      <c r="E14" s="177"/>
      <c r="F14" s="177"/>
      <c r="G14" s="177"/>
      <c r="H14" s="177"/>
      <c r="I14" s="177"/>
      <c r="J14" s="178"/>
      <c r="L14" s="24" t="s">
        <v>33</v>
      </c>
      <c r="M14" s="27">
        <v>0</v>
      </c>
      <c r="N14" s="26"/>
      <c r="O14" s="35">
        <v>0</v>
      </c>
      <c r="P14" s="28">
        <v>18</v>
      </c>
      <c r="Q14" s="34">
        <f>P14/P15</f>
        <v>5.8187648701768908E-2</v>
      </c>
      <c r="S14" s="3"/>
    </row>
    <row r="15" spans="1:19" ht="13.5" customHeight="1" thickBot="1">
      <c r="A15" s="134"/>
      <c r="B15" s="125" t="s">
        <v>82</v>
      </c>
      <c r="C15" s="126"/>
      <c r="D15" s="126"/>
      <c r="E15" s="126"/>
      <c r="F15" s="126"/>
      <c r="G15" s="126"/>
      <c r="H15" s="126"/>
      <c r="I15" s="126"/>
      <c r="J15" s="127"/>
      <c r="L15" s="36" t="s">
        <v>34</v>
      </c>
      <c r="M15" s="37"/>
      <c r="N15" s="37"/>
      <c r="O15" s="37">
        <v>0</v>
      </c>
      <c r="P15" s="38">
        <f>SUM(P10:P14)</f>
        <v>309.34399999999999</v>
      </c>
      <c r="Q15" s="39">
        <f>SUM(Q10:Q14)</f>
        <v>1</v>
      </c>
      <c r="S15" s="3"/>
    </row>
    <row r="16" spans="1:19" ht="13.5" customHeight="1">
      <c r="A16" s="134"/>
      <c r="B16" s="125"/>
      <c r="C16" s="126"/>
      <c r="D16" s="126"/>
      <c r="E16" s="126"/>
      <c r="F16" s="126"/>
      <c r="G16" s="126"/>
      <c r="H16" s="126"/>
      <c r="I16" s="126"/>
      <c r="J16" s="127"/>
      <c r="S16" s="3"/>
    </row>
    <row r="17" spans="1:19" ht="21" customHeight="1">
      <c r="A17" s="134"/>
      <c r="B17" s="125" t="s">
        <v>35</v>
      </c>
      <c r="C17" s="126"/>
      <c r="D17" s="126"/>
      <c r="E17" s="126"/>
      <c r="F17" s="126"/>
      <c r="G17" s="126"/>
      <c r="H17" s="126"/>
      <c r="I17" s="126"/>
      <c r="J17" s="127"/>
      <c r="L17" s="162"/>
      <c r="M17" s="163"/>
      <c r="N17" s="40" t="s">
        <v>86</v>
      </c>
      <c r="O17" s="41"/>
      <c r="P17" s="41"/>
      <c r="Q17" s="42">
        <v>9620</v>
      </c>
      <c r="S17" s="3"/>
    </row>
    <row r="18" spans="1:19" ht="15.75" customHeight="1">
      <c r="A18" s="134"/>
      <c r="B18" s="164" t="s">
        <v>36</v>
      </c>
      <c r="C18" s="165"/>
      <c r="D18" s="165"/>
      <c r="E18" s="165"/>
      <c r="F18" s="165"/>
      <c r="G18" s="43">
        <v>160000</v>
      </c>
      <c r="H18" s="166" t="s">
        <v>37</v>
      </c>
      <c r="I18" s="166"/>
      <c r="J18" s="167"/>
      <c r="L18" s="162"/>
      <c r="M18" s="163"/>
      <c r="P18" s="44"/>
      <c r="S18" s="3"/>
    </row>
    <row r="19" spans="1:19" ht="15.75" customHeight="1">
      <c r="A19" s="134"/>
      <c r="B19" s="179" t="s">
        <v>152</v>
      </c>
      <c r="C19" s="180"/>
      <c r="D19" s="180"/>
      <c r="E19" s="180"/>
      <c r="F19" s="180"/>
      <c r="G19" s="180"/>
      <c r="H19" s="180"/>
      <c r="I19" s="180"/>
      <c r="J19" s="181"/>
      <c r="L19" s="45" t="s">
        <v>39</v>
      </c>
      <c r="M19" s="45"/>
      <c r="N19" s="45"/>
      <c r="O19" s="45"/>
      <c r="P19" s="45"/>
      <c r="Q19" s="46"/>
      <c r="S19" s="3"/>
    </row>
    <row r="20" spans="1:19" ht="15.75" customHeight="1">
      <c r="A20" s="82"/>
      <c r="B20" s="179" t="s">
        <v>73</v>
      </c>
      <c r="C20" s="180"/>
      <c r="D20" s="180"/>
      <c r="E20" s="180"/>
      <c r="F20" s="180"/>
      <c r="G20" s="180"/>
      <c r="H20" s="180"/>
      <c r="I20" s="180"/>
      <c r="J20" s="181"/>
      <c r="L20" s="45" t="s">
        <v>44</v>
      </c>
      <c r="M20" s="45"/>
      <c r="N20" s="45"/>
      <c r="O20" s="45"/>
      <c r="P20" s="45"/>
      <c r="Q20" s="46"/>
      <c r="S20" s="3"/>
    </row>
    <row r="21" spans="1:19" ht="15.75" customHeight="1">
      <c r="A21" s="82"/>
      <c r="B21" s="193" t="s">
        <v>137</v>
      </c>
      <c r="C21" s="194"/>
      <c r="D21" s="194"/>
      <c r="E21" s="194"/>
      <c r="F21" s="194"/>
      <c r="G21" s="194"/>
      <c r="H21" s="194"/>
      <c r="I21" s="194"/>
      <c r="J21" s="195"/>
      <c r="L21" s="45" t="s">
        <v>46</v>
      </c>
      <c r="M21" s="45"/>
      <c r="N21" s="45"/>
      <c r="O21" s="45"/>
      <c r="P21" s="45"/>
      <c r="Q21" s="46"/>
      <c r="S21" s="3"/>
    </row>
    <row r="22" spans="1:19" ht="18.75" customHeight="1">
      <c r="A22" s="119" t="s">
        <v>40</v>
      </c>
      <c r="B22" s="146" t="s">
        <v>41</v>
      </c>
      <c r="C22" s="147"/>
      <c r="D22" s="47" t="s">
        <v>24</v>
      </c>
      <c r="E22" s="47" t="s">
        <v>42</v>
      </c>
      <c r="F22" s="47" t="s">
        <v>31</v>
      </c>
      <c r="G22" s="148" t="s">
        <v>43</v>
      </c>
      <c r="H22" s="149"/>
      <c r="I22" s="148" t="s">
        <v>33</v>
      </c>
      <c r="J22" s="150"/>
      <c r="L22" s="45" t="s">
        <v>48</v>
      </c>
      <c r="M22" s="45"/>
      <c r="N22" s="45"/>
      <c r="O22" s="45"/>
      <c r="P22" s="45"/>
      <c r="Q22" s="46"/>
      <c r="R22" s="45"/>
      <c r="S22" s="2"/>
    </row>
    <row r="23" spans="1:19" ht="18.75" customHeight="1">
      <c r="A23" s="120"/>
      <c r="B23" s="151" t="s">
        <v>45</v>
      </c>
      <c r="C23" s="152"/>
      <c r="D23" s="48">
        <f>Q10</f>
        <v>0.6734250543084721</v>
      </c>
      <c r="E23" s="48">
        <f>Q11</f>
        <v>0.1346850108616944</v>
      </c>
      <c r="F23" s="48">
        <f>Q12</f>
        <v>7.7583531602358535E-2</v>
      </c>
      <c r="G23" s="153">
        <f>Q13</f>
        <v>5.6118754525706006E-2</v>
      </c>
      <c r="H23" s="154"/>
      <c r="I23" s="153">
        <f>Q14</f>
        <v>5.8187648701768908E-2</v>
      </c>
      <c r="J23" s="155"/>
      <c r="L23" s="45"/>
      <c r="M23" s="45"/>
      <c r="N23" s="45"/>
      <c r="O23" s="45"/>
      <c r="P23" s="45"/>
      <c r="Q23" s="45"/>
      <c r="R23" s="45"/>
      <c r="S23" s="2"/>
    </row>
    <row r="24" spans="1:19" ht="18.75" customHeight="1">
      <c r="A24" s="121"/>
      <c r="B24" s="49" t="s">
        <v>47</v>
      </c>
      <c r="C24" s="50">
        <f>G11</f>
        <v>13468.501086169443</v>
      </c>
      <c r="D24" s="51">
        <f>G18*$D$23</f>
        <v>107748.00868935554</v>
      </c>
      <c r="E24" s="52">
        <f>G18*$E$23</f>
        <v>21549.601737871104</v>
      </c>
      <c r="F24" s="51">
        <f>G18*$F$23</f>
        <v>12413.365056377366</v>
      </c>
      <c r="G24" s="156">
        <f>G18*$G$23</f>
        <v>8979.0007241129606</v>
      </c>
      <c r="H24" s="157"/>
      <c r="I24" s="158">
        <f>G18*$I$23</f>
        <v>9310.0237922830256</v>
      </c>
      <c r="J24" s="159"/>
      <c r="L24" s="45"/>
      <c r="M24" s="45"/>
      <c r="N24" s="45"/>
      <c r="O24" s="45"/>
      <c r="P24" s="45"/>
      <c r="Q24" s="45"/>
      <c r="R24" s="45"/>
      <c r="S24" s="2"/>
    </row>
    <row r="25" spans="1:19" ht="54.75" customHeight="1">
      <c r="A25" s="119" t="s">
        <v>49</v>
      </c>
      <c r="B25" s="135" t="s">
        <v>120</v>
      </c>
      <c r="C25" s="136"/>
      <c r="D25" s="136"/>
      <c r="E25" s="136"/>
      <c r="F25" s="136"/>
      <c r="G25" s="136"/>
      <c r="H25" s="136"/>
      <c r="I25" s="136"/>
      <c r="J25" s="137"/>
      <c r="L25" s="45" t="s">
        <v>14</v>
      </c>
      <c r="M25" s="45"/>
      <c r="N25" s="45"/>
      <c r="O25" s="45"/>
      <c r="P25" s="45"/>
      <c r="Q25" s="46"/>
      <c r="S25" s="2"/>
    </row>
    <row r="26" spans="1:19" ht="66.75" customHeight="1">
      <c r="A26" s="134"/>
      <c r="B26" s="138"/>
      <c r="C26" s="139"/>
      <c r="D26" s="139"/>
      <c r="E26" s="139"/>
      <c r="F26" s="139"/>
      <c r="G26" s="139"/>
      <c r="H26" s="139"/>
      <c r="I26" s="139"/>
      <c r="J26" s="140"/>
      <c r="L26" s="45" t="s">
        <v>14</v>
      </c>
      <c r="M26" s="45"/>
      <c r="N26" s="45"/>
      <c r="O26" s="45"/>
      <c r="P26" s="45"/>
      <c r="Q26" s="46"/>
      <c r="S26" s="2"/>
    </row>
    <row r="27" spans="1:19" ht="27.75" customHeight="1">
      <c r="A27" s="141" t="s">
        <v>50</v>
      </c>
      <c r="B27" s="122" t="s">
        <v>70</v>
      </c>
      <c r="C27" s="123"/>
      <c r="D27" s="123"/>
      <c r="E27" s="123"/>
      <c r="F27" s="123"/>
      <c r="G27" s="123"/>
      <c r="H27" s="123"/>
      <c r="I27" s="123"/>
      <c r="J27" s="124"/>
      <c r="L27" s="3">
        <f>C24*8</f>
        <v>107748.00868935554</v>
      </c>
      <c r="M27" s="53">
        <f>E24*5</f>
        <v>107748.00868935551</v>
      </c>
      <c r="N27" s="45"/>
      <c r="O27" s="53"/>
      <c r="P27" s="54"/>
      <c r="Q27" s="53"/>
      <c r="R27" s="55"/>
      <c r="S27" s="56"/>
    </row>
    <row r="28" spans="1:19" ht="27.75" customHeight="1">
      <c r="A28" s="142"/>
      <c r="B28" s="128"/>
      <c r="C28" s="129"/>
      <c r="D28" s="129"/>
      <c r="E28" s="129"/>
      <c r="F28" s="129"/>
      <c r="G28" s="129"/>
      <c r="H28" s="129"/>
      <c r="I28" s="129"/>
      <c r="J28" s="130"/>
      <c r="L28" s="3"/>
      <c r="M28" s="54"/>
      <c r="R28" s="55"/>
      <c r="S28" s="56"/>
    </row>
    <row r="29" spans="1:19" ht="40.5" customHeight="1">
      <c r="A29" s="57" t="s">
        <v>51</v>
      </c>
      <c r="B29" s="122" t="s">
        <v>68</v>
      </c>
      <c r="C29" s="123"/>
      <c r="D29" s="123"/>
      <c r="E29" s="123"/>
      <c r="F29" s="123"/>
      <c r="G29" s="123"/>
      <c r="H29" s="123"/>
      <c r="I29" s="123"/>
      <c r="J29" s="124"/>
      <c r="L29" s="143" t="s">
        <v>52</v>
      </c>
      <c r="M29" s="143"/>
      <c r="N29" s="143"/>
      <c r="O29" s="143"/>
      <c r="P29" s="143"/>
      <c r="Q29" s="143"/>
      <c r="R29" s="55"/>
      <c r="S29" s="56"/>
    </row>
    <row r="30" spans="1:19" ht="23.25" customHeight="1">
      <c r="A30" s="119" t="s">
        <v>53</v>
      </c>
      <c r="B30" s="122" t="s">
        <v>71</v>
      </c>
      <c r="C30" s="123"/>
      <c r="D30" s="123"/>
      <c r="E30" s="123"/>
      <c r="F30" s="123"/>
      <c r="G30" s="123"/>
      <c r="H30" s="123"/>
      <c r="I30" s="123"/>
      <c r="J30" s="124"/>
      <c r="L30" s="143"/>
      <c r="M30" s="143"/>
      <c r="N30" s="143"/>
      <c r="O30" s="143"/>
      <c r="P30" s="143"/>
      <c r="Q30" s="143"/>
      <c r="R30" s="55"/>
      <c r="S30" s="55"/>
    </row>
    <row r="31" spans="1:19" ht="23.25" customHeight="1">
      <c r="A31" s="120"/>
      <c r="B31" s="125"/>
      <c r="C31" s="126"/>
      <c r="D31" s="126"/>
      <c r="E31" s="126"/>
      <c r="F31" s="126"/>
      <c r="G31" s="126"/>
      <c r="H31" s="126"/>
      <c r="I31" s="126"/>
      <c r="J31" s="127"/>
      <c r="L31" s="143"/>
      <c r="M31" s="143"/>
      <c r="N31" s="143"/>
      <c r="O31" s="143"/>
      <c r="P31" s="143"/>
      <c r="Q31" s="143"/>
      <c r="S31" s="2"/>
    </row>
    <row r="32" spans="1:19" ht="23.25" customHeight="1">
      <c r="A32" s="120"/>
      <c r="B32" s="125"/>
      <c r="C32" s="126"/>
      <c r="D32" s="126"/>
      <c r="E32" s="126"/>
      <c r="F32" s="126"/>
      <c r="G32" s="126"/>
      <c r="H32" s="126"/>
      <c r="I32" s="126"/>
      <c r="J32" s="127"/>
      <c r="L32" s="143"/>
      <c r="M32" s="143"/>
      <c r="N32" s="143"/>
      <c r="O32" s="143"/>
      <c r="P32" s="143"/>
      <c r="Q32" s="143"/>
      <c r="S32" s="2"/>
    </row>
    <row r="33" spans="1:19" ht="23.25" customHeight="1">
      <c r="A33" s="120"/>
      <c r="B33" s="125"/>
      <c r="C33" s="126"/>
      <c r="D33" s="126"/>
      <c r="E33" s="126"/>
      <c r="F33" s="126"/>
      <c r="G33" s="126"/>
      <c r="H33" s="126"/>
      <c r="I33" s="126"/>
      <c r="J33" s="127"/>
      <c r="L33" s="18"/>
      <c r="M33" s="18"/>
      <c r="N33" s="18"/>
      <c r="O33" s="18"/>
      <c r="P33" s="18"/>
      <c r="S33" s="2"/>
    </row>
    <row r="34" spans="1:19" ht="23.25" customHeight="1">
      <c r="A34" s="120"/>
      <c r="B34" s="125"/>
      <c r="C34" s="126"/>
      <c r="D34" s="126"/>
      <c r="E34" s="126"/>
      <c r="F34" s="126"/>
      <c r="G34" s="126"/>
      <c r="H34" s="126"/>
      <c r="I34" s="126"/>
      <c r="J34" s="127"/>
      <c r="L34" s="58"/>
      <c r="M34" s="58"/>
      <c r="N34" s="58"/>
      <c r="O34" s="144"/>
      <c r="P34" s="144"/>
      <c r="Q34" s="59"/>
      <c r="S34" s="2"/>
    </row>
    <row r="35" spans="1:19" ht="28.5" customHeight="1">
      <c r="A35" s="121"/>
      <c r="B35" s="128"/>
      <c r="C35" s="129"/>
      <c r="D35" s="129"/>
      <c r="E35" s="129"/>
      <c r="F35" s="129"/>
      <c r="G35" s="129"/>
      <c r="H35" s="129"/>
      <c r="I35" s="129"/>
      <c r="J35" s="130"/>
      <c r="L35" s="60"/>
      <c r="M35" s="60"/>
      <c r="N35" s="60"/>
      <c r="O35" s="145"/>
      <c r="P35" s="145"/>
      <c r="Q35" s="61"/>
      <c r="S35" s="2"/>
    </row>
    <row r="36" spans="1:19" ht="21" customHeight="1">
      <c r="A36" s="119" t="s">
        <v>54</v>
      </c>
      <c r="B36" s="122" t="s">
        <v>153</v>
      </c>
      <c r="C36" s="123"/>
      <c r="D36" s="123"/>
      <c r="E36" s="123"/>
      <c r="F36" s="123"/>
      <c r="G36" s="123"/>
      <c r="H36" s="123"/>
      <c r="I36" s="123"/>
      <c r="J36" s="124"/>
      <c r="L36" s="62"/>
      <c r="M36" s="63"/>
      <c r="N36" s="62"/>
      <c r="O36" s="131"/>
      <c r="P36" s="131"/>
      <c r="Q36" s="64"/>
      <c r="R36" s="65"/>
      <c r="S36" s="2"/>
    </row>
    <row r="37" spans="1:19" ht="19.5" customHeight="1">
      <c r="A37" s="120"/>
      <c r="B37" s="125"/>
      <c r="C37" s="126"/>
      <c r="D37" s="126"/>
      <c r="E37" s="126"/>
      <c r="F37" s="126"/>
      <c r="G37" s="126"/>
      <c r="H37" s="126"/>
      <c r="I37" s="126"/>
      <c r="J37" s="127"/>
      <c r="L37" s="66"/>
      <c r="M37" s="67"/>
      <c r="N37" s="66"/>
      <c r="O37" s="132"/>
      <c r="P37" s="132"/>
      <c r="Q37" s="68"/>
      <c r="R37" s="69"/>
      <c r="S37" s="2"/>
    </row>
    <row r="38" spans="1:19" ht="19.5" customHeight="1">
      <c r="A38" s="120"/>
      <c r="B38" s="125"/>
      <c r="C38" s="126"/>
      <c r="D38" s="126"/>
      <c r="E38" s="126"/>
      <c r="F38" s="126"/>
      <c r="G38" s="126"/>
      <c r="H38" s="126"/>
      <c r="I38" s="126"/>
      <c r="J38" s="127"/>
      <c r="L38" s="70"/>
      <c r="M38" s="71"/>
      <c r="N38" s="70"/>
      <c r="O38" s="133"/>
      <c r="P38" s="133"/>
      <c r="Q38" s="72"/>
      <c r="R38" s="73"/>
      <c r="S38" s="2"/>
    </row>
    <row r="39" spans="1:19" ht="19.5" customHeight="1">
      <c r="A39" s="120"/>
      <c r="B39" s="125"/>
      <c r="C39" s="126"/>
      <c r="D39" s="126"/>
      <c r="E39" s="126"/>
      <c r="F39" s="126"/>
      <c r="G39" s="126"/>
      <c r="H39" s="126"/>
      <c r="I39" s="126"/>
      <c r="J39" s="127"/>
      <c r="L39" s="70"/>
      <c r="M39" s="71"/>
      <c r="N39" s="70"/>
      <c r="O39" s="70"/>
      <c r="P39" s="70"/>
      <c r="Q39" s="72"/>
      <c r="R39" s="73"/>
      <c r="S39" s="2"/>
    </row>
    <row r="40" spans="1:19" ht="19.5" customHeight="1">
      <c r="A40" s="121"/>
      <c r="B40" s="128"/>
      <c r="C40" s="129"/>
      <c r="D40" s="129"/>
      <c r="E40" s="129"/>
      <c r="F40" s="129"/>
      <c r="G40" s="129"/>
      <c r="H40" s="129"/>
      <c r="I40" s="129"/>
      <c r="J40" s="130"/>
      <c r="L40" s="70"/>
      <c r="M40" s="71"/>
      <c r="N40" s="70"/>
      <c r="O40" s="133"/>
      <c r="P40" s="133"/>
      <c r="Q40" s="72"/>
      <c r="R40" s="73"/>
      <c r="S40" s="2"/>
    </row>
    <row r="41" spans="1:19" ht="17.100000000000001" customHeight="1">
      <c r="A41" s="119" t="s">
        <v>75</v>
      </c>
      <c r="B41" s="220" t="s">
        <v>76</v>
      </c>
      <c r="C41" s="221"/>
      <c r="D41" s="84"/>
      <c r="E41" s="84"/>
      <c r="F41" s="84"/>
      <c r="G41" s="84"/>
      <c r="H41" s="84"/>
      <c r="I41" s="84"/>
      <c r="J41" s="85"/>
      <c r="L41" s="70"/>
      <c r="M41" s="71"/>
      <c r="N41" s="70"/>
      <c r="O41" s="70"/>
      <c r="P41" s="70"/>
      <c r="Q41" s="72"/>
      <c r="R41" s="73"/>
      <c r="S41" s="2"/>
    </row>
    <row r="42" spans="1:19" ht="19.5" customHeight="1">
      <c r="A42" s="120"/>
      <c r="B42" s="216" t="s">
        <v>77</v>
      </c>
      <c r="C42" s="217"/>
      <c r="D42" s="216" t="s">
        <v>78</v>
      </c>
      <c r="E42" s="217"/>
      <c r="F42" s="216" t="s">
        <v>79</v>
      </c>
      <c r="G42" s="217"/>
      <c r="H42" s="216" t="s">
        <v>80</v>
      </c>
      <c r="I42" s="217"/>
      <c r="J42" s="86" t="s">
        <v>81</v>
      </c>
      <c r="L42" s="70"/>
      <c r="M42" s="71"/>
      <c r="N42" s="70"/>
      <c r="O42" s="70"/>
      <c r="P42" s="70"/>
      <c r="Q42" s="72"/>
      <c r="R42" s="73"/>
      <c r="S42" s="2"/>
    </row>
    <row r="43" spans="1:19" ht="19.5" customHeight="1">
      <c r="A43" s="120"/>
      <c r="B43" s="218" t="s">
        <v>87</v>
      </c>
      <c r="C43" s="219"/>
      <c r="D43" s="218" t="s">
        <v>87</v>
      </c>
      <c r="E43" s="219"/>
      <c r="F43" s="218" t="s">
        <v>87</v>
      </c>
      <c r="G43" s="219"/>
      <c r="H43" s="218" t="s">
        <v>87</v>
      </c>
      <c r="I43" s="219"/>
      <c r="J43" s="90" t="s">
        <v>87</v>
      </c>
      <c r="L43" s="70"/>
      <c r="M43" s="71"/>
      <c r="N43" s="70"/>
      <c r="O43" s="70"/>
      <c r="P43" s="70"/>
      <c r="Q43" s="72"/>
      <c r="R43" s="73"/>
      <c r="S43" s="2"/>
    </row>
    <row r="44" spans="1:19" ht="19.5" customHeight="1">
      <c r="A44" s="121"/>
      <c r="B44" s="220" t="s">
        <v>131</v>
      </c>
      <c r="C44" s="221"/>
      <c r="D44" s="221"/>
      <c r="E44" s="221"/>
      <c r="F44" s="221"/>
      <c r="G44" s="221"/>
      <c r="H44" s="221"/>
      <c r="I44" s="221"/>
      <c r="J44" s="222"/>
      <c r="L44" s="70"/>
      <c r="M44" s="71"/>
      <c r="N44" s="70"/>
      <c r="O44" s="70"/>
      <c r="P44" s="70"/>
      <c r="Q44" s="72"/>
      <c r="R44" s="73"/>
      <c r="S44" s="2"/>
    </row>
    <row r="45" spans="1:19" ht="21" customHeight="1">
      <c r="A45" s="74" t="s">
        <v>56</v>
      </c>
      <c r="B45" s="105" t="s">
        <v>154</v>
      </c>
      <c r="C45" s="106"/>
      <c r="D45" s="106"/>
      <c r="E45" s="106"/>
      <c r="F45" s="106"/>
      <c r="G45" s="106"/>
      <c r="H45" s="106"/>
      <c r="I45" s="106"/>
      <c r="J45" s="107"/>
      <c r="S45" s="2"/>
    </row>
    <row r="46" spans="1:19" ht="19.5" customHeight="1">
      <c r="A46" s="108" t="s">
        <v>155</v>
      </c>
      <c r="B46" s="109"/>
      <c r="C46" s="109"/>
      <c r="D46" s="109"/>
      <c r="E46" s="109"/>
      <c r="F46" s="109"/>
      <c r="G46" s="109"/>
      <c r="H46" s="109"/>
      <c r="I46" s="109"/>
      <c r="J46" s="110"/>
      <c r="S46" s="3"/>
    </row>
    <row r="47" spans="1:19" s="75" customFormat="1" ht="23.25" customHeight="1">
      <c r="A47" s="111" t="s">
        <v>58</v>
      </c>
      <c r="B47" s="112"/>
      <c r="C47" s="112"/>
      <c r="D47" s="112"/>
      <c r="E47" s="112"/>
      <c r="F47" s="112" t="s">
        <v>59</v>
      </c>
      <c r="G47" s="112"/>
      <c r="H47" s="112"/>
      <c r="I47" s="112"/>
      <c r="J47" s="113"/>
      <c r="S47" s="41"/>
    </row>
    <row r="48" spans="1:19" ht="23.25" customHeight="1">
      <c r="A48" s="114" t="s">
        <v>60</v>
      </c>
      <c r="B48" s="115"/>
      <c r="C48" s="116" t="str">
        <f>A4</f>
        <v>㈜강구토건 대표 이진호</v>
      </c>
      <c r="D48" s="116"/>
      <c r="E48" s="116"/>
      <c r="F48" s="76" t="s">
        <v>61</v>
      </c>
      <c r="G48" s="117" t="s">
        <v>156</v>
      </c>
      <c r="H48" s="117"/>
      <c r="I48" s="117"/>
      <c r="J48" s="118"/>
      <c r="S48" s="3"/>
    </row>
    <row r="49" spans="1:19" ht="23.25" customHeight="1">
      <c r="A49" s="100" t="s">
        <v>62</v>
      </c>
      <c r="B49" s="101"/>
      <c r="C49" s="102" t="s">
        <v>84</v>
      </c>
      <c r="D49" s="102"/>
      <c r="E49" s="102"/>
      <c r="F49" s="77" t="s">
        <v>63</v>
      </c>
      <c r="G49" s="103"/>
      <c r="H49" s="103"/>
      <c r="I49" s="103"/>
      <c r="J49" s="104"/>
      <c r="L49" s="2" t="s">
        <v>90</v>
      </c>
      <c r="M49" s="2" t="s">
        <v>91</v>
      </c>
      <c r="S49" s="3"/>
    </row>
    <row r="50" spans="1:19" ht="23.25" customHeight="1">
      <c r="A50" s="100" t="s">
        <v>64</v>
      </c>
      <c r="B50" s="101"/>
      <c r="C50" s="103"/>
      <c r="D50" s="103"/>
      <c r="E50" s="103"/>
      <c r="F50" s="78" t="s">
        <v>65</v>
      </c>
      <c r="G50" s="103"/>
      <c r="H50" s="103"/>
      <c r="I50" s="103"/>
      <c r="J50" s="104"/>
      <c r="L50" s="2" t="s">
        <v>93</v>
      </c>
      <c r="M50" s="2" t="s">
        <v>92</v>
      </c>
      <c r="S50" s="3"/>
    </row>
    <row r="51" spans="1:19" ht="23.25" customHeight="1" thickBot="1">
      <c r="A51" s="95" t="s">
        <v>66</v>
      </c>
      <c r="B51" s="96"/>
      <c r="C51" s="97" t="s">
        <v>124</v>
      </c>
      <c r="D51" s="97"/>
      <c r="E51" s="97"/>
      <c r="F51" s="79" t="s">
        <v>67</v>
      </c>
      <c r="G51" s="98"/>
      <c r="H51" s="98"/>
      <c r="I51" s="98"/>
      <c r="J51" s="99"/>
      <c r="S51" s="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phoneticPr fontId="3" type="noConversion"/>
  <printOptions horizontalCentered="1"/>
  <pageMargins left="0.70866141732283472" right="0.70866141732283472" top="0.74803149606299213" bottom="0.74803149606299213" header="0.31496062992125984" footer="0.31496062992125984"/>
  <pageSetup paperSize="9" scale="65" orientation="portrait" r:id="rId1"/>
  <colBreaks count="1" manualBreakCount="1">
    <brk id="10"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51"/>
  <sheetViews>
    <sheetView view="pageBreakPreview" zoomScaleNormal="100" zoomScaleSheetLayoutView="100" workbookViewId="0">
      <selection activeCell="O13" sqref="O13"/>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96" t="s">
        <v>203</v>
      </c>
      <c r="B1" s="196"/>
      <c r="C1" s="196"/>
      <c r="D1" s="196"/>
      <c r="E1" s="196"/>
      <c r="F1" s="1"/>
      <c r="G1" s="1"/>
      <c r="H1" s="1"/>
      <c r="I1" s="1"/>
      <c r="J1" s="1"/>
      <c r="L1" s="197" t="s">
        <v>0</v>
      </c>
      <c r="M1" s="197"/>
      <c r="N1" s="197"/>
      <c r="O1" s="197"/>
      <c r="P1" s="197"/>
      <c r="Q1" s="197"/>
      <c r="S1" s="3"/>
    </row>
    <row r="2" spans="1:19" ht="27" customHeight="1">
      <c r="A2" s="198" t="s">
        <v>1</v>
      </c>
      <c r="B2" s="198"/>
      <c r="C2" s="198"/>
      <c r="D2" s="198"/>
      <c r="E2" s="198"/>
      <c r="F2" s="198"/>
      <c r="G2" s="198"/>
      <c r="H2" s="198"/>
      <c r="I2" s="198"/>
      <c r="J2" s="198"/>
      <c r="L2" s="197"/>
      <c r="M2" s="197"/>
      <c r="N2" s="197"/>
      <c r="O2" s="197"/>
      <c r="P2" s="197"/>
      <c r="Q2" s="197"/>
      <c r="S2" s="3"/>
    </row>
    <row r="3" spans="1:19" ht="6" customHeight="1" thickBot="1">
      <c r="A3" s="1"/>
      <c r="B3" s="1"/>
      <c r="C3" s="1"/>
      <c r="D3" s="1"/>
      <c r="E3" s="1"/>
      <c r="F3" s="1"/>
      <c r="G3" s="1"/>
      <c r="H3" s="1"/>
      <c r="I3" s="1"/>
      <c r="J3" s="1"/>
      <c r="K3" s="4"/>
      <c r="L3" s="199" t="s">
        <v>2</v>
      </c>
      <c r="M3" s="199"/>
      <c r="N3" s="199"/>
      <c r="O3" s="199"/>
      <c r="P3" s="199"/>
      <c r="S3" s="3"/>
    </row>
    <row r="4" spans="1:19" ht="17.25" customHeight="1">
      <c r="A4" s="200" t="s">
        <v>74</v>
      </c>
      <c r="B4" s="201"/>
      <c r="C4" s="202" t="s">
        <v>3</v>
      </c>
      <c r="D4" s="202"/>
      <c r="E4" s="88"/>
      <c r="F4" s="202" t="s">
        <v>5</v>
      </c>
      <c r="G4" s="202"/>
      <c r="H4" s="202"/>
      <c r="I4" s="202"/>
      <c r="J4" s="203"/>
      <c r="K4" s="5"/>
      <c r="L4" s="199"/>
      <c r="M4" s="199"/>
      <c r="N4" s="199"/>
      <c r="O4" s="199"/>
      <c r="P4" s="199"/>
      <c r="S4" s="3"/>
    </row>
    <row r="5" spans="1:19" ht="15" customHeight="1" thickBot="1">
      <c r="A5" s="204" t="s">
        <v>6</v>
      </c>
      <c r="B5" s="205"/>
      <c r="C5" s="205"/>
      <c r="D5" s="205"/>
      <c r="E5" s="205"/>
      <c r="F5" s="205"/>
      <c r="G5" s="205"/>
      <c r="H5" s="205"/>
      <c r="I5" s="205"/>
      <c r="J5" s="206"/>
      <c r="K5" s="5"/>
      <c r="L5" s="6" t="s">
        <v>2</v>
      </c>
      <c r="M5" s="7"/>
      <c r="N5" s="8"/>
      <c r="O5" s="9"/>
      <c r="P5" s="9"/>
      <c r="S5" s="3"/>
    </row>
    <row r="6" spans="1:19" ht="21.75" customHeight="1" thickBot="1">
      <c r="A6" s="10" t="s">
        <v>7</v>
      </c>
      <c r="B6" s="207"/>
      <c r="C6" s="208"/>
      <c r="D6" s="208"/>
      <c r="E6" s="209"/>
      <c r="F6" s="210" t="s">
        <v>8</v>
      </c>
      <c r="G6" s="211"/>
      <c r="H6" s="212"/>
      <c r="I6" s="213"/>
      <c r="J6" s="214"/>
      <c r="L6" s="11" t="s">
        <v>9</v>
      </c>
      <c r="M6" s="12"/>
      <c r="N6" s="13" t="s">
        <v>10</v>
      </c>
      <c r="O6" s="14">
        <v>8</v>
      </c>
      <c r="P6" s="15" t="s">
        <v>11</v>
      </c>
      <c r="Q6" s="16">
        <v>6</v>
      </c>
      <c r="S6" s="3"/>
    </row>
    <row r="7" spans="1:19" ht="21.75" customHeight="1">
      <c r="A7" s="17" t="s">
        <v>12</v>
      </c>
      <c r="B7" s="170"/>
      <c r="C7" s="170"/>
      <c r="D7" s="170"/>
      <c r="E7" s="170"/>
      <c r="F7" s="215" t="s">
        <v>13</v>
      </c>
      <c r="G7" s="215"/>
      <c r="H7" s="170"/>
      <c r="I7" s="170"/>
      <c r="J7" s="171"/>
      <c r="L7" s="18"/>
      <c r="M7" s="18"/>
      <c r="N7" s="18"/>
      <c r="O7" s="18"/>
      <c r="P7" s="18"/>
      <c r="S7" s="3"/>
    </row>
    <row r="8" spans="1:19" ht="18" customHeight="1" thickBot="1">
      <c r="A8" s="141" t="s">
        <v>15</v>
      </c>
      <c r="B8" s="182" t="s">
        <v>157</v>
      </c>
      <c r="C8" s="183"/>
      <c r="D8" s="184" t="s">
        <v>158</v>
      </c>
      <c r="E8" s="183"/>
      <c r="F8" s="19" t="s">
        <v>16</v>
      </c>
      <c r="G8" s="185" t="s">
        <v>17</v>
      </c>
      <c r="H8" s="185"/>
      <c r="I8" s="185"/>
      <c r="J8" s="186"/>
      <c r="L8" s="8"/>
      <c r="M8" s="8"/>
      <c r="N8" s="8"/>
      <c r="O8" s="8"/>
      <c r="P8" s="8"/>
      <c r="S8" s="3"/>
    </row>
    <row r="9" spans="1:19" ht="12" customHeight="1">
      <c r="A9" s="134"/>
      <c r="B9" s="187" t="s">
        <v>69</v>
      </c>
      <c r="C9" s="188"/>
      <c r="D9" s="188"/>
      <c r="E9" s="188"/>
      <c r="F9" s="188"/>
      <c r="G9" s="188"/>
      <c r="H9" s="188"/>
      <c r="I9" s="188"/>
      <c r="J9" s="189"/>
      <c r="L9" s="20" t="s">
        <v>18</v>
      </c>
      <c r="M9" s="21" t="s">
        <v>19</v>
      </c>
      <c r="N9" s="21" t="s">
        <v>20</v>
      </c>
      <c r="O9" s="21" t="s">
        <v>21</v>
      </c>
      <c r="P9" s="21" t="s">
        <v>22</v>
      </c>
      <c r="Q9" s="22" t="s">
        <v>23</v>
      </c>
      <c r="S9" s="3"/>
    </row>
    <row r="10" spans="1:19" ht="30" customHeight="1">
      <c r="A10" s="142"/>
      <c r="B10" s="190"/>
      <c r="C10" s="191"/>
      <c r="D10" s="191"/>
      <c r="E10" s="191"/>
      <c r="F10" s="191"/>
      <c r="G10" s="191"/>
      <c r="H10" s="191"/>
      <c r="I10" s="191"/>
      <c r="J10" s="192"/>
      <c r="K10" s="23" t="s">
        <v>14</v>
      </c>
      <c r="L10" s="24" t="s">
        <v>24</v>
      </c>
      <c r="M10" s="25">
        <v>48</v>
      </c>
      <c r="N10" s="26">
        <v>1</v>
      </c>
      <c r="O10" s="27">
        <v>4.34</v>
      </c>
      <c r="P10" s="28">
        <f>M10*O10</f>
        <v>208.32</v>
      </c>
      <c r="Q10" s="29">
        <f>P10/P15</f>
        <v>0.73006616575081307</v>
      </c>
      <c r="S10" s="3"/>
    </row>
    <row r="11" spans="1:19" ht="19.5" customHeight="1">
      <c r="A11" s="141" t="s">
        <v>25</v>
      </c>
      <c r="B11" s="172" t="s">
        <v>26</v>
      </c>
      <c r="C11" s="173"/>
      <c r="D11" s="173"/>
      <c r="E11" s="30">
        <f>D24</f>
        <v>116810.58652013009</v>
      </c>
      <c r="F11" s="31" t="s">
        <v>27</v>
      </c>
      <c r="G11" s="32">
        <f>E11/8</f>
        <v>14601.323315016261</v>
      </c>
      <c r="H11" s="174" t="s">
        <v>28</v>
      </c>
      <c r="I11" s="174"/>
      <c r="J11" s="175"/>
      <c r="L11" s="24" t="s">
        <v>29</v>
      </c>
      <c r="M11" s="25">
        <v>9.6</v>
      </c>
      <c r="N11" s="26">
        <v>1</v>
      </c>
      <c r="O11" s="27">
        <v>4.34</v>
      </c>
      <c r="P11" s="28">
        <f>M11*O11</f>
        <v>41.663999999999994</v>
      </c>
      <c r="Q11" s="33">
        <f>P11/P15</f>
        <v>0.1460132331501626</v>
      </c>
      <c r="S11" s="3"/>
    </row>
    <row r="12" spans="1:19" ht="17.25" customHeight="1">
      <c r="A12" s="134"/>
      <c r="B12" s="176" t="s">
        <v>30</v>
      </c>
      <c r="C12" s="177"/>
      <c r="D12" s="177"/>
      <c r="E12" s="177"/>
      <c r="F12" s="177"/>
      <c r="G12" s="177"/>
      <c r="H12" s="177"/>
      <c r="I12" s="177"/>
      <c r="J12" s="178"/>
      <c r="L12" s="24" t="s">
        <v>31</v>
      </c>
      <c r="M12" s="25">
        <v>12</v>
      </c>
      <c r="N12" s="26">
        <v>1</v>
      </c>
      <c r="O12" s="27">
        <v>0</v>
      </c>
      <c r="P12" s="28">
        <f>M12*N12*O12</f>
        <v>0</v>
      </c>
      <c r="Q12" s="33">
        <f>P12/P15</f>
        <v>0</v>
      </c>
      <c r="R12" s="227"/>
      <c r="S12" s="228"/>
    </row>
    <row r="13" spans="1:19" ht="17.25" customHeight="1">
      <c r="A13" s="134"/>
      <c r="B13" s="176"/>
      <c r="C13" s="177"/>
      <c r="D13" s="177"/>
      <c r="E13" s="177"/>
      <c r="F13" s="177"/>
      <c r="G13" s="177"/>
      <c r="H13" s="177"/>
      <c r="I13" s="177"/>
      <c r="J13" s="178"/>
      <c r="L13" s="24" t="s">
        <v>32</v>
      </c>
      <c r="M13" s="25">
        <v>8</v>
      </c>
      <c r="N13" s="26">
        <v>0.5</v>
      </c>
      <c r="O13" s="27">
        <v>4.34</v>
      </c>
      <c r="P13" s="28">
        <f>M13*N13*O13</f>
        <v>17.36</v>
      </c>
      <c r="Q13" s="34">
        <f>P13/P15</f>
        <v>6.0838847145901084E-2</v>
      </c>
      <c r="S13" s="3"/>
    </row>
    <row r="14" spans="1:19" ht="17.25" customHeight="1">
      <c r="A14" s="134"/>
      <c r="B14" s="176"/>
      <c r="C14" s="177"/>
      <c r="D14" s="177"/>
      <c r="E14" s="177"/>
      <c r="F14" s="177"/>
      <c r="G14" s="177"/>
      <c r="H14" s="177"/>
      <c r="I14" s="177"/>
      <c r="J14" s="178"/>
      <c r="L14" s="24" t="s">
        <v>33</v>
      </c>
      <c r="M14" s="27">
        <v>0</v>
      </c>
      <c r="N14" s="26"/>
      <c r="O14" s="35">
        <v>0</v>
      </c>
      <c r="P14" s="28">
        <v>18</v>
      </c>
      <c r="Q14" s="34">
        <f>P14/P15</f>
        <v>6.3081753953123251E-2</v>
      </c>
      <c r="S14" s="3"/>
    </row>
    <row r="15" spans="1:19" ht="13.5" customHeight="1" thickBot="1">
      <c r="A15" s="134"/>
      <c r="B15" s="125" t="s">
        <v>82</v>
      </c>
      <c r="C15" s="126"/>
      <c r="D15" s="126"/>
      <c r="E15" s="126"/>
      <c r="F15" s="126"/>
      <c r="G15" s="126"/>
      <c r="H15" s="126"/>
      <c r="I15" s="126"/>
      <c r="J15" s="127"/>
      <c r="L15" s="36" t="s">
        <v>34</v>
      </c>
      <c r="M15" s="37"/>
      <c r="N15" s="37"/>
      <c r="O15" s="37">
        <v>0</v>
      </c>
      <c r="P15" s="38">
        <f>SUM(P10:P14)</f>
        <v>285.34399999999999</v>
      </c>
      <c r="Q15" s="39">
        <f>SUM(Q10:Q14)</f>
        <v>0.99999999999999989</v>
      </c>
      <c r="S15" s="3"/>
    </row>
    <row r="16" spans="1:19" ht="13.5" customHeight="1">
      <c r="A16" s="134"/>
      <c r="B16" s="125"/>
      <c r="C16" s="126"/>
      <c r="D16" s="126"/>
      <c r="E16" s="126"/>
      <c r="F16" s="126"/>
      <c r="G16" s="126"/>
      <c r="H16" s="126"/>
      <c r="I16" s="126"/>
      <c r="J16" s="127"/>
      <c r="S16" s="3"/>
    </row>
    <row r="17" spans="1:19" ht="21" customHeight="1">
      <c r="A17" s="134"/>
      <c r="B17" s="125" t="s">
        <v>35</v>
      </c>
      <c r="C17" s="126"/>
      <c r="D17" s="126"/>
      <c r="E17" s="126"/>
      <c r="F17" s="126"/>
      <c r="G17" s="126"/>
      <c r="H17" s="126"/>
      <c r="I17" s="126"/>
      <c r="J17" s="127"/>
      <c r="L17" s="162"/>
      <c r="M17" s="163"/>
      <c r="N17" s="40" t="s">
        <v>86</v>
      </c>
      <c r="O17" s="41"/>
      <c r="P17" s="41"/>
      <c r="Q17" s="42">
        <v>9620</v>
      </c>
      <c r="S17" s="3"/>
    </row>
    <row r="18" spans="1:19" ht="15.75" customHeight="1">
      <c r="A18" s="134"/>
      <c r="B18" s="164" t="s">
        <v>97</v>
      </c>
      <c r="C18" s="165"/>
      <c r="D18" s="165"/>
      <c r="E18" s="165"/>
      <c r="F18" s="165"/>
      <c r="G18" s="43">
        <v>160000</v>
      </c>
      <c r="H18" s="166" t="s">
        <v>37</v>
      </c>
      <c r="I18" s="166"/>
      <c r="J18" s="167"/>
      <c r="L18" s="162"/>
      <c r="M18" s="163"/>
      <c r="P18" s="44"/>
      <c r="S18" s="3"/>
    </row>
    <row r="19" spans="1:19" ht="15.75" customHeight="1">
      <c r="A19" s="134"/>
      <c r="B19" s="179" t="s">
        <v>136</v>
      </c>
      <c r="C19" s="180"/>
      <c r="D19" s="180"/>
      <c r="E19" s="180"/>
      <c r="F19" s="180"/>
      <c r="G19" s="180"/>
      <c r="H19" s="180"/>
      <c r="I19" s="180"/>
      <c r="J19" s="181"/>
      <c r="L19" s="45" t="s">
        <v>39</v>
      </c>
      <c r="M19" s="45"/>
      <c r="N19" s="45"/>
      <c r="O19" s="45"/>
      <c r="P19" s="45"/>
      <c r="Q19" s="46"/>
      <c r="S19" s="3"/>
    </row>
    <row r="20" spans="1:19" ht="15.75" customHeight="1">
      <c r="A20" s="82"/>
      <c r="B20" s="179" t="s">
        <v>73</v>
      </c>
      <c r="C20" s="180"/>
      <c r="D20" s="180"/>
      <c r="E20" s="180"/>
      <c r="F20" s="180"/>
      <c r="G20" s="180"/>
      <c r="H20" s="180"/>
      <c r="I20" s="180"/>
      <c r="J20" s="181"/>
      <c r="L20" s="45" t="s">
        <v>44</v>
      </c>
      <c r="M20" s="45"/>
      <c r="N20" s="45"/>
      <c r="O20" s="45"/>
      <c r="P20" s="45"/>
      <c r="Q20" s="46"/>
      <c r="S20" s="3"/>
    </row>
    <row r="21" spans="1:19" ht="15.75" customHeight="1">
      <c r="A21" s="82"/>
      <c r="B21" s="193" t="s">
        <v>159</v>
      </c>
      <c r="C21" s="194"/>
      <c r="D21" s="194"/>
      <c r="E21" s="194"/>
      <c r="F21" s="194"/>
      <c r="G21" s="194"/>
      <c r="H21" s="194"/>
      <c r="I21" s="194"/>
      <c r="J21" s="195"/>
      <c r="L21" s="45" t="s">
        <v>46</v>
      </c>
      <c r="M21" s="45"/>
      <c r="N21" s="45"/>
      <c r="O21" s="45"/>
      <c r="P21" s="45"/>
      <c r="Q21" s="46"/>
      <c r="S21" s="3"/>
    </row>
    <row r="22" spans="1:19" ht="18.75" customHeight="1">
      <c r="A22" s="119" t="s">
        <v>40</v>
      </c>
      <c r="B22" s="146" t="s">
        <v>41</v>
      </c>
      <c r="C22" s="147"/>
      <c r="D22" s="47" t="s">
        <v>24</v>
      </c>
      <c r="E22" s="47" t="s">
        <v>42</v>
      </c>
      <c r="F22" s="47" t="s">
        <v>31</v>
      </c>
      <c r="G22" s="148" t="s">
        <v>43</v>
      </c>
      <c r="H22" s="149"/>
      <c r="I22" s="148" t="s">
        <v>33</v>
      </c>
      <c r="J22" s="150"/>
      <c r="L22" s="45" t="s">
        <v>48</v>
      </c>
      <c r="M22" s="45"/>
      <c r="N22" s="45"/>
      <c r="O22" s="45"/>
      <c r="P22" s="45"/>
      <c r="Q22" s="46"/>
      <c r="R22" s="45"/>
      <c r="S22" s="2"/>
    </row>
    <row r="23" spans="1:19" ht="18.75" customHeight="1">
      <c r="A23" s="120"/>
      <c r="B23" s="151" t="s">
        <v>45</v>
      </c>
      <c r="C23" s="152"/>
      <c r="D23" s="48">
        <f>Q10</f>
        <v>0.73006616575081307</v>
      </c>
      <c r="E23" s="48">
        <f>Q11</f>
        <v>0.1460132331501626</v>
      </c>
      <c r="F23" s="48">
        <f>Q12</f>
        <v>0</v>
      </c>
      <c r="G23" s="153">
        <f>Q13</f>
        <v>6.0838847145901084E-2</v>
      </c>
      <c r="H23" s="154"/>
      <c r="I23" s="153">
        <f>Q14</f>
        <v>6.3081753953123251E-2</v>
      </c>
      <c r="J23" s="155"/>
      <c r="L23" s="45"/>
      <c r="M23" s="45"/>
      <c r="N23" s="45"/>
      <c r="O23" s="45"/>
      <c r="P23" s="45"/>
      <c r="Q23" s="45"/>
      <c r="R23" s="45"/>
      <c r="S23" s="2"/>
    </row>
    <row r="24" spans="1:19" ht="18.75" customHeight="1">
      <c r="A24" s="121"/>
      <c r="B24" s="49" t="s">
        <v>47</v>
      </c>
      <c r="C24" s="50">
        <f>G11</f>
        <v>14601.323315016261</v>
      </c>
      <c r="D24" s="51">
        <f>G18*$D$23</f>
        <v>116810.58652013009</v>
      </c>
      <c r="E24" s="52">
        <f>G18*$E$23</f>
        <v>23362.117304026015</v>
      </c>
      <c r="F24" s="51">
        <f>G18*$F$23</f>
        <v>0</v>
      </c>
      <c r="G24" s="156">
        <f>G18*$G$23</f>
        <v>9734.2155433441731</v>
      </c>
      <c r="H24" s="157"/>
      <c r="I24" s="158">
        <f>G18*$I$23</f>
        <v>10093.080632499721</v>
      </c>
      <c r="J24" s="159"/>
      <c r="L24" s="45"/>
      <c r="M24" s="45"/>
      <c r="N24" s="45"/>
      <c r="O24" s="45"/>
      <c r="P24" s="45"/>
      <c r="Q24" s="45"/>
      <c r="R24" s="45"/>
      <c r="S24" s="2"/>
    </row>
    <row r="25" spans="1:19" ht="54.75" customHeight="1">
      <c r="A25" s="119" t="s">
        <v>49</v>
      </c>
      <c r="B25" s="135" t="s">
        <v>101</v>
      </c>
      <c r="C25" s="136"/>
      <c r="D25" s="136"/>
      <c r="E25" s="136"/>
      <c r="F25" s="136"/>
      <c r="G25" s="136"/>
      <c r="H25" s="136"/>
      <c r="I25" s="136"/>
      <c r="J25" s="137"/>
      <c r="L25" s="45" t="s">
        <v>14</v>
      </c>
      <c r="M25" s="45"/>
      <c r="N25" s="45"/>
      <c r="O25" s="45"/>
      <c r="P25" s="45"/>
      <c r="Q25" s="46"/>
      <c r="S25" s="2"/>
    </row>
    <row r="26" spans="1:19" ht="66.75" customHeight="1">
      <c r="A26" s="134"/>
      <c r="B26" s="138"/>
      <c r="C26" s="139"/>
      <c r="D26" s="139"/>
      <c r="E26" s="139"/>
      <c r="F26" s="139"/>
      <c r="G26" s="139"/>
      <c r="H26" s="139"/>
      <c r="I26" s="139"/>
      <c r="J26" s="140"/>
      <c r="L26" s="45" t="s">
        <v>14</v>
      </c>
      <c r="M26" s="45"/>
      <c r="N26" s="45"/>
      <c r="O26" s="45"/>
      <c r="P26" s="45"/>
      <c r="Q26" s="46"/>
      <c r="S26" s="2"/>
    </row>
    <row r="27" spans="1:19" ht="27.75" customHeight="1">
      <c r="A27" s="141" t="s">
        <v>50</v>
      </c>
      <c r="B27" s="122" t="s">
        <v>70</v>
      </c>
      <c r="C27" s="123"/>
      <c r="D27" s="123"/>
      <c r="E27" s="123"/>
      <c r="F27" s="123"/>
      <c r="G27" s="123"/>
      <c r="H27" s="123"/>
      <c r="I27" s="123"/>
      <c r="J27" s="124"/>
      <c r="L27" s="3">
        <f>C24*8</f>
        <v>116810.58652013009</v>
      </c>
      <c r="M27" s="53">
        <f>E24*5</f>
        <v>116810.58652013008</v>
      </c>
      <c r="N27" s="45"/>
      <c r="O27" s="53"/>
      <c r="P27" s="54"/>
      <c r="Q27" s="53"/>
      <c r="R27" s="55"/>
      <c r="S27" s="56"/>
    </row>
    <row r="28" spans="1:19" ht="27.75" customHeight="1">
      <c r="A28" s="142"/>
      <c r="B28" s="128"/>
      <c r="C28" s="129"/>
      <c r="D28" s="129"/>
      <c r="E28" s="129"/>
      <c r="F28" s="129"/>
      <c r="G28" s="129"/>
      <c r="H28" s="129"/>
      <c r="I28" s="129"/>
      <c r="J28" s="130"/>
      <c r="L28" s="3"/>
      <c r="M28" s="54"/>
      <c r="R28" s="55"/>
      <c r="S28" s="56"/>
    </row>
    <row r="29" spans="1:19" ht="40.5" customHeight="1">
      <c r="A29" s="57" t="s">
        <v>51</v>
      </c>
      <c r="B29" s="122" t="s">
        <v>68</v>
      </c>
      <c r="C29" s="123"/>
      <c r="D29" s="123"/>
      <c r="E29" s="123"/>
      <c r="F29" s="123"/>
      <c r="G29" s="123"/>
      <c r="H29" s="123"/>
      <c r="I29" s="123"/>
      <c r="J29" s="124"/>
      <c r="L29" s="143" t="s">
        <v>52</v>
      </c>
      <c r="M29" s="143"/>
      <c r="N29" s="143"/>
      <c r="O29" s="143"/>
      <c r="P29" s="143"/>
      <c r="Q29" s="143"/>
      <c r="R29" s="55"/>
      <c r="S29" s="56"/>
    </row>
    <row r="30" spans="1:19" ht="23.25" customHeight="1">
      <c r="A30" s="119" t="s">
        <v>53</v>
      </c>
      <c r="B30" s="122" t="s">
        <v>71</v>
      </c>
      <c r="C30" s="123"/>
      <c r="D30" s="123"/>
      <c r="E30" s="123"/>
      <c r="F30" s="123"/>
      <c r="G30" s="123"/>
      <c r="H30" s="123"/>
      <c r="I30" s="123"/>
      <c r="J30" s="124"/>
      <c r="L30" s="143"/>
      <c r="M30" s="143"/>
      <c r="N30" s="143"/>
      <c r="O30" s="143"/>
      <c r="P30" s="143"/>
      <c r="Q30" s="143"/>
      <c r="R30" s="55"/>
      <c r="S30" s="55"/>
    </row>
    <row r="31" spans="1:19" ht="23.25" customHeight="1">
      <c r="A31" s="120"/>
      <c r="B31" s="125"/>
      <c r="C31" s="126"/>
      <c r="D31" s="126"/>
      <c r="E31" s="126"/>
      <c r="F31" s="126"/>
      <c r="G31" s="126"/>
      <c r="H31" s="126"/>
      <c r="I31" s="126"/>
      <c r="J31" s="127"/>
      <c r="L31" s="143"/>
      <c r="M31" s="143"/>
      <c r="N31" s="143"/>
      <c r="O31" s="143"/>
      <c r="P31" s="143"/>
      <c r="Q31" s="143"/>
      <c r="S31" s="2"/>
    </row>
    <row r="32" spans="1:19" ht="23.25" customHeight="1">
      <c r="A32" s="120"/>
      <c r="B32" s="125"/>
      <c r="C32" s="126"/>
      <c r="D32" s="126"/>
      <c r="E32" s="126"/>
      <c r="F32" s="126"/>
      <c r="G32" s="126"/>
      <c r="H32" s="126"/>
      <c r="I32" s="126"/>
      <c r="J32" s="127"/>
      <c r="L32" s="143"/>
      <c r="M32" s="143"/>
      <c r="N32" s="143"/>
      <c r="O32" s="143"/>
      <c r="P32" s="143"/>
      <c r="Q32" s="143"/>
      <c r="S32" s="2"/>
    </row>
    <row r="33" spans="1:19" ht="23.25" customHeight="1">
      <c r="A33" s="120"/>
      <c r="B33" s="125"/>
      <c r="C33" s="126"/>
      <c r="D33" s="126"/>
      <c r="E33" s="126"/>
      <c r="F33" s="126"/>
      <c r="G33" s="126"/>
      <c r="H33" s="126"/>
      <c r="I33" s="126"/>
      <c r="J33" s="127"/>
      <c r="L33" s="18"/>
      <c r="M33" s="18"/>
      <c r="N33" s="18"/>
      <c r="O33" s="18"/>
      <c r="P33" s="18"/>
      <c r="S33" s="2"/>
    </row>
    <row r="34" spans="1:19" ht="23.25" customHeight="1">
      <c r="A34" s="120"/>
      <c r="B34" s="125"/>
      <c r="C34" s="126"/>
      <c r="D34" s="126"/>
      <c r="E34" s="126"/>
      <c r="F34" s="126"/>
      <c r="G34" s="126"/>
      <c r="H34" s="126"/>
      <c r="I34" s="126"/>
      <c r="J34" s="127"/>
      <c r="L34" s="58"/>
      <c r="M34" s="58"/>
      <c r="N34" s="58"/>
      <c r="O34" s="144"/>
      <c r="P34" s="144"/>
      <c r="Q34" s="59"/>
      <c r="S34" s="2"/>
    </row>
    <row r="35" spans="1:19" ht="36.75" customHeight="1">
      <c r="A35" s="121"/>
      <c r="B35" s="128"/>
      <c r="C35" s="129"/>
      <c r="D35" s="129"/>
      <c r="E35" s="129"/>
      <c r="F35" s="129"/>
      <c r="G35" s="129"/>
      <c r="H35" s="129"/>
      <c r="I35" s="129"/>
      <c r="J35" s="130"/>
      <c r="L35" s="60"/>
      <c r="M35" s="60"/>
      <c r="N35" s="60"/>
      <c r="O35" s="145"/>
      <c r="P35" s="145"/>
      <c r="Q35" s="61"/>
      <c r="S35" s="2"/>
    </row>
    <row r="36" spans="1:19" ht="21" customHeight="1">
      <c r="A36" s="119" t="s">
        <v>54</v>
      </c>
      <c r="B36" s="122" t="s">
        <v>160</v>
      </c>
      <c r="C36" s="123"/>
      <c r="D36" s="123"/>
      <c r="E36" s="123"/>
      <c r="F36" s="123"/>
      <c r="G36" s="123"/>
      <c r="H36" s="123"/>
      <c r="I36" s="123"/>
      <c r="J36" s="124"/>
      <c r="L36" s="62"/>
      <c r="M36" s="63"/>
      <c r="N36" s="62"/>
      <c r="O36" s="131"/>
      <c r="P36" s="131"/>
      <c r="Q36" s="64"/>
      <c r="R36" s="65"/>
      <c r="S36" s="2"/>
    </row>
    <row r="37" spans="1:19" ht="19.5" customHeight="1">
      <c r="A37" s="120"/>
      <c r="B37" s="125"/>
      <c r="C37" s="126"/>
      <c r="D37" s="126"/>
      <c r="E37" s="126"/>
      <c r="F37" s="126"/>
      <c r="G37" s="126"/>
      <c r="H37" s="126"/>
      <c r="I37" s="126"/>
      <c r="J37" s="127"/>
      <c r="L37" s="66"/>
      <c r="M37" s="67"/>
      <c r="N37" s="66"/>
      <c r="O37" s="132"/>
      <c r="P37" s="132"/>
      <c r="Q37" s="68"/>
      <c r="R37" s="69"/>
      <c r="S37" s="2"/>
    </row>
    <row r="38" spans="1:19" ht="19.5" customHeight="1">
      <c r="A38" s="120"/>
      <c r="B38" s="125"/>
      <c r="C38" s="126"/>
      <c r="D38" s="126"/>
      <c r="E38" s="126"/>
      <c r="F38" s="126"/>
      <c r="G38" s="126"/>
      <c r="H38" s="126"/>
      <c r="I38" s="126"/>
      <c r="J38" s="127"/>
      <c r="L38" s="70"/>
      <c r="M38" s="71"/>
      <c r="N38" s="70"/>
      <c r="O38" s="133"/>
      <c r="P38" s="133"/>
      <c r="Q38" s="72"/>
      <c r="R38" s="73"/>
      <c r="S38" s="2"/>
    </row>
    <row r="39" spans="1:19" ht="19.5" customHeight="1">
      <c r="A39" s="120"/>
      <c r="B39" s="125"/>
      <c r="C39" s="126"/>
      <c r="D39" s="126"/>
      <c r="E39" s="126"/>
      <c r="F39" s="126"/>
      <c r="G39" s="126"/>
      <c r="H39" s="126"/>
      <c r="I39" s="126"/>
      <c r="J39" s="127"/>
      <c r="L39" s="70"/>
      <c r="M39" s="71"/>
      <c r="N39" s="70"/>
      <c r="O39" s="70"/>
      <c r="P39" s="70"/>
      <c r="Q39" s="72"/>
      <c r="R39" s="73"/>
      <c r="S39" s="2"/>
    </row>
    <row r="40" spans="1:19" ht="29.25" customHeight="1">
      <c r="A40" s="121"/>
      <c r="B40" s="128"/>
      <c r="C40" s="129"/>
      <c r="D40" s="129"/>
      <c r="E40" s="129"/>
      <c r="F40" s="129"/>
      <c r="G40" s="129"/>
      <c r="H40" s="129"/>
      <c r="I40" s="129"/>
      <c r="J40" s="130"/>
      <c r="L40" s="70"/>
      <c r="M40" s="71"/>
      <c r="N40" s="70"/>
      <c r="O40" s="133"/>
      <c r="P40" s="133"/>
      <c r="Q40" s="72"/>
      <c r="R40" s="73"/>
      <c r="S40" s="2"/>
    </row>
    <row r="41" spans="1:19" ht="17.100000000000001" customHeight="1">
      <c r="A41" s="119" t="s">
        <v>75</v>
      </c>
      <c r="B41" s="220" t="s">
        <v>76</v>
      </c>
      <c r="C41" s="221"/>
      <c r="D41" s="84"/>
      <c r="E41" s="84"/>
      <c r="F41" s="84"/>
      <c r="G41" s="84"/>
      <c r="H41" s="84"/>
      <c r="I41" s="84"/>
      <c r="J41" s="85"/>
      <c r="L41" s="70"/>
      <c r="M41" s="71"/>
      <c r="N41" s="70"/>
      <c r="O41" s="70"/>
      <c r="P41" s="70"/>
      <c r="Q41" s="72"/>
      <c r="R41" s="73"/>
      <c r="S41" s="2"/>
    </row>
    <row r="42" spans="1:19" ht="19.5" customHeight="1">
      <c r="A42" s="120"/>
      <c r="B42" s="216" t="s">
        <v>77</v>
      </c>
      <c r="C42" s="217"/>
      <c r="D42" s="216" t="s">
        <v>78</v>
      </c>
      <c r="E42" s="217"/>
      <c r="F42" s="216" t="s">
        <v>79</v>
      </c>
      <c r="G42" s="217"/>
      <c r="H42" s="216" t="s">
        <v>80</v>
      </c>
      <c r="I42" s="217"/>
      <c r="J42" s="86" t="s">
        <v>81</v>
      </c>
      <c r="L42" s="70"/>
      <c r="M42" s="71"/>
      <c r="N42" s="70"/>
      <c r="O42" s="70"/>
      <c r="P42" s="70"/>
      <c r="Q42" s="72"/>
      <c r="R42" s="73"/>
      <c r="S42" s="2"/>
    </row>
    <row r="43" spans="1:19" ht="19.5" customHeight="1">
      <c r="A43" s="120"/>
      <c r="B43" s="218" t="s">
        <v>87</v>
      </c>
      <c r="C43" s="219"/>
      <c r="D43" s="218" t="s">
        <v>87</v>
      </c>
      <c r="E43" s="219"/>
      <c r="F43" s="218" t="s">
        <v>87</v>
      </c>
      <c r="G43" s="219"/>
      <c r="H43" s="218" t="s">
        <v>87</v>
      </c>
      <c r="I43" s="219"/>
      <c r="J43" s="90" t="s">
        <v>87</v>
      </c>
      <c r="L43" s="70"/>
      <c r="M43" s="71"/>
      <c r="N43" s="70"/>
      <c r="O43" s="70"/>
      <c r="P43" s="70"/>
      <c r="Q43" s="72"/>
      <c r="R43" s="73"/>
      <c r="S43" s="2"/>
    </row>
    <row r="44" spans="1:19" ht="19.5" customHeight="1">
      <c r="A44" s="121"/>
      <c r="B44" s="220" t="s">
        <v>161</v>
      </c>
      <c r="C44" s="221"/>
      <c r="D44" s="221"/>
      <c r="E44" s="221"/>
      <c r="F44" s="221"/>
      <c r="G44" s="221"/>
      <c r="H44" s="221"/>
      <c r="I44" s="221"/>
      <c r="J44" s="222"/>
      <c r="L44" s="70"/>
      <c r="M44" s="71"/>
      <c r="N44" s="70"/>
      <c r="O44" s="70"/>
      <c r="P44" s="70"/>
      <c r="Q44" s="72"/>
      <c r="R44" s="73"/>
      <c r="S44" s="2"/>
    </row>
    <row r="45" spans="1:19" ht="21" customHeight="1">
      <c r="A45" s="74" t="s">
        <v>56</v>
      </c>
      <c r="B45" s="105" t="s">
        <v>162</v>
      </c>
      <c r="C45" s="106"/>
      <c r="D45" s="106"/>
      <c r="E45" s="106"/>
      <c r="F45" s="106"/>
      <c r="G45" s="106"/>
      <c r="H45" s="106"/>
      <c r="I45" s="106"/>
      <c r="J45" s="107"/>
      <c r="S45" s="2"/>
    </row>
    <row r="46" spans="1:19" ht="19.5" customHeight="1">
      <c r="A46" s="108" t="s">
        <v>164</v>
      </c>
      <c r="B46" s="109"/>
      <c r="C46" s="109"/>
      <c r="D46" s="109"/>
      <c r="E46" s="109"/>
      <c r="F46" s="109"/>
      <c r="G46" s="109"/>
      <c r="H46" s="109"/>
      <c r="I46" s="109"/>
      <c r="J46" s="110"/>
      <c r="S46" s="3"/>
    </row>
    <row r="47" spans="1:19" s="75" customFormat="1" ht="23.25" customHeight="1">
      <c r="A47" s="111" t="s">
        <v>58</v>
      </c>
      <c r="B47" s="112"/>
      <c r="C47" s="112"/>
      <c r="D47" s="112"/>
      <c r="E47" s="112"/>
      <c r="F47" s="112" t="s">
        <v>59</v>
      </c>
      <c r="G47" s="112"/>
      <c r="H47" s="112"/>
      <c r="I47" s="112"/>
      <c r="J47" s="113"/>
      <c r="S47" s="41"/>
    </row>
    <row r="48" spans="1:19" ht="23.25" customHeight="1">
      <c r="A48" s="114" t="s">
        <v>60</v>
      </c>
      <c r="B48" s="115"/>
      <c r="C48" s="116" t="str">
        <f>A4</f>
        <v>㈜강구토건 대표 이진호</v>
      </c>
      <c r="D48" s="116"/>
      <c r="E48" s="116"/>
      <c r="F48" s="76" t="s">
        <v>61</v>
      </c>
      <c r="G48" s="117" t="s">
        <v>156</v>
      </c>
      <c r="H48" s="117"/>
      <c r="I48" s="117"/>
      <c r="J48" s="118"/>
      <c r="S48" s="3"/>
    </row>
    <row r="49" spans="1:19" ht="23.25" customHeight="1">
      <c r="A49" s="100" t="s">
        <v>62</v>
      </c>
      <c r="B49" s="101"/>
      <c r="C49" s="102" t="s">
        <v>84</v>
      </c>
      <c r="D49" s="102"/>
      <c r="E49" s="102"/>
      <c r="F49" s="77" t="s">
        <v>63</v>
      </c>
      <c r="G49" s="103"/>
      <c r="H49" s="103"/>
      <c r="I49" s="103"/>
      <c r="J49" s="104"/>
      <c r="S49" s="3"/>
    </row>
    <row r="50" spans="1:19" ht="23.25" customHeight="1">
      <c r="A50" s="100" t="s">
        <v>64</v>
      </c>
      <c r="B50" s="101"/>
      <c r="C50" s="102"/>
      <c r="D50" s="102"/>
      <c r="E50" s="102"/>
      <c r="F50" s="78" t="s">
        <v>65</v>
      </c>
      <c r="G50" s="103"/>
      <c r="H50" s="103"/>
      <c r="I50" s="103"/>
      <c r="J50" s="104"/>
      <c r="S50" s="3"/>
    </row>
    <row r="51" spans="1:19" ht="23.25" customHeight="1" thickBot="1">
      <c r="A51" s="95" t="s">
        <v>66</v>
      </c>
      <c r="B51" s="96"/>
      <c r="C51" s="97" t="s">
        <v>163</v>
      </c>
      <c r="D51" s="97"/>
      <c r="E51" s="97"/>
      <c r="F51" s="79" t="s">
        <v>67</v>
      </c>
      <c r="G51" s="98"/>
      <c r="H51" s="98"/>
      <c r="I51" s="98"/>
      <c r="J51" s="99"/>
      <c r="S51" s="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phoneticPr fontId="3" type="noConversion"/>
  <printOptions horizontalCentered="1"/>
  <pageMargins left="0.23622047244094491" right="0.23622047244094491" top="0.74803149606299213" bottom="0.74803149606299213" header="0.31496062992125984" footer="0.31496062992125984"/>
  <pageSetup paperSize="9" scale="64" orientation="portrait" r:id="rId1"/>
  <colBreaks count="1" manualBreakCount="1">
    <brk id="10"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51"/>
  <sheetViews>
    <sheetView view="pageBreakPreview" zoomScaleNormal="100" zoomScaleSheetLayoutView="100" workbookViewId="0">
      <selection activeCell="P12" sqref="P12"/>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96" t="s">
        <v>203</v>
      </c>
      <c r="B1" s="196"/>
      <c r="C1" s="196"/>
      <c r="D1" s="196"/>
      <c r="E1" s="196"/>
      <c r="F1" s="1"/>
      <c r="G1" s="1"/>
      <c r="H1" s="1"/>
      <c r="I1" s="1"/>
      <c r="J1" s="1"/>
      <c r="L1" s="197" t="s">
        <v>0</v>
      </c>
      <c r="M1" s="197"/>
      <c r="N1" s="197"/>
      <c r="O1" s="197"/>
      <c r="P1" s="197"/>
      <c r="Q1" s="197"/>
      <c r="S1" s="3"/>
    </row>
    <row r="2" spans="1:19" ht="27" customHeight="1">
      <c r="A2" s="198" t="s">
        <v>1</v>
      </c>
      <c r="B2" s="198"/>
      <c r="C2" s="198"/>
      <c r="D2" s="198"/>
      <c r="E2" s="198"/>
      <c r="F2" s="198"/>
      <c r="G2" s="198"/>
      <c r="H2" s="198"/>
      <c r="I2" s="198"/>
      <c r="J2" s="198"/>
      <c r="L2" s="197"/>
      <c r="M2" s="197"/>
      <c r="N2" s="197"/>
      <c r="O2" s="197"/>
      <c r="P2" s="197"/>
      <c r="Q2" s="197"/>
      <c r="S2" s="3"/>
    </row>
    <row r="3" spans="1:19" ht="6" customHeight="1" thickBot="1">
      <c r="A3" s="1"/>
      <c r="B3" s="1"/>
      <c r="C3" s="1"/>
      <c r="D3" s="1"/>
      <c r="E3" s="1"/>
      <c r="F3" s="1"/>
      <c r="G3" s="1"/>
      <c r="H3" s="1"/>
      <c r="I3" s="1"/>
      <c r="J3" s="1"/>
      <c r="K3" s="4"/>
      <c r="L3" s="199" t="s">
        <v>2</v>
      </c>
      <c r="M3" s="199"/>
      <c r="N3" s="199"/>
      <c r="O3" s="199"/>
      <c r="P3" s="199"/>
      <c r="S3" s="3"/>
    </row>
    <row r="4" spans="1:19" ht="17.25" customHeight="1">
      <c r="A4" s="200" t="s">
        <v>74</v>
      </c>
      <c r="B4" s="201"/>
      <c r="C4" s="202" t="s">
        <v>3</v>
      </c>
      <c r="D4" s="202"/>
      <c r="E4" s="88"/>
      <c r="F4" s="202" t="s">
        <v>5</v>
      </c>
      <c r="G4" s="202"/>
      <c r="H4" s="202"/>
      <c r="I4" s="202"/>
      <c r="J4" s="203"/>
      <c r="K4" s="5"/>
      <c r="L4" s="199"/>
      <c r="M4" s="199"/>
      <c r="N4" s="199"/>
      <c r="O4" s="199"/>
      <c r="P4" s="199"/>
      <c r="S4" s="3"/>
    </row>
    <row r="5" spans="1:19" ht="15" customHeight="1" thickBot="1">
      <c r="A5" s="204" t="s">
        <v>6</v>
      </c>
      <c r="B5" s="205"/>
      <c r="C5" s="205"/>
      <c r="D5" s="205"/>
      <c r="E5" s="205"/>
      <c r="F5" s="205"/>
      <c r="G5" s="205"/>
      <c r="H5" s="205"/>
      <c r="I5" s="205"/>
      <c r="J5" s="206"/>
      <c r="K5" s="5"/>
      <c r="L5" s="6" t="s">
        <v>2</v>
      </c>
      <c r="M5" s="7"/>
      <c r="N5" s="8"/>
      <c r="O5" s="9"/>
      <c r="P5" s="9"/>
      <c r="S5" s="3"/>
    </row>
    <row r="6" spans="1:19" ht="21.75" customHeight="1" thickBot="1">
      <c r="A6" s="10" t="s">
        <v>7</v>
      </c>
      <c r="B6" s="207"/>
      <c r="C6" s="208"/>
      <c r="D6" s="208"/>
      <c r="E6" s="209"/>
      <c r="F6" s="210" t="s">
        <v>8</v>
      </c>
      <c r="G6" s="211"/>
      <c r="H6" s="212"/>
      <c r="I6" s="213"/>
      <c r="J6" s="214"/>
      <c r="L6" s="11" t="s">
        <v>9</v>
      </c>
      <c r="M6" s="12"/>
      <c r="N6" s="13" t="s">
        <v>10</v>
      </c>
      <c r="O6" s="14">
        <v>8</v>
      </c>
      <c r="P6" s="15" t="s">
        <v>11</v>
      </c>
      <c r="Q6" s="16">
        <v>6</v>
      </c>
      <c r="S6" s="3"/>
    </row>
    <row r="7" spans="1:19" ht="21.75" customHeight="1">
      <c r="A7" s="17" t="s">
        <v>12</v>
      </c>
      <c r="B7" s="170"/>
      <c r="C7" s="170"/>
      <c r="D7" s="170"/>
      <c r="E7" s="170"/>
      <c r="F7" s="215" t="s">
        <v>13</v>
      </c>
      <c r="G7" s="215"/>
      <c r="H7" s="170" t="s">
        <v>14</v>
      </c>
      <c r="I7" s="170"/>
      <c r="J7" s="171"/>
      <c r="L7" s="18"/>
      <c r="M7" s="18"/>
      <c r="N7" s="18"/>
      <c r="O7" s="18"/>
      <c r="P7" s="18"/>
      <c r="S7" s="3"/>
    </row>
    <row r="8" spans="1:19" ht="18" customHeight="1" thickBot="1">
      <c r="A8" s="141" t="s">
        <v>15</v>
      </c>
      <c r="B8" s="182" t="s">
        <v>165</v>
      </c>
      <c r="C8" s="183"/>
      <c r="D8" s="184" t="s">
        <v>166</v>
      </c>
      <c r="E8" s="183"/>
      <c r="F8" s="19" t="s">
        <v>16</v>
      </c>
      <c r="G8" s="185" t="s">
        <v>17</v>
      </c>
      <c r="H8" s="185"/>
      <c r="I8" s="185"/>
      <c r="J8" s="186"/>
      <c r="L8" s="8"/>
      <c r="M8" s="8"/>
      <c r="N8" s="8"/>
      <c r="O8" s="8"/>
      <c r="P8" s="8"/>
      <c r="S8" s="3"/>
    </row>
    <row r="9" spans="1:19" ht="12" customHeight="1">
      <c r="A9" s="134"/>
      <c r="B9" s="187" t="s">
        <v>69</v>
      </c>
      <c r="C9" s="188"/>
      <c r="D9" s="188"/>
      <c r="E9" s="188"/>
      <c r="F9" s="188"/>
      <c r="G9" s="188"/>
      <c r="H9" s="188"/>
      <c r="I9" s="188"/>
      <c r="J9" s="189"/>
      <c r="L9" s="20" t="s">
        <v>18</v>
      </c>
      <c r="M9" s="21" t="s">
        <v>19</v>
      </c>
      <c r="N9" s="21" t="s">
        <v>20</v>
      </c>
      <c r="O9" s="21" t="s">
        <v>21</v>
      </c>
      <c r="P9" s="21" t="s">
        <v>22</v>
      </c>
      <c r="Q9" s="22" t="s">
        <v>23</v>
      </c>
      <c r="S9" s="3"/>
    </row>
    <row r="10" spans="1:19" ht="30" customHeight="1">
      <c r="A10" s="142"/>
      <c r="B10" s="190"/>
      <c r="C10" s="191"/>
      <c r="D10" s="191"/>
      <c r="E10" s="191"/>
      <c r="F10" s="191"/>
      <c r="G10" s="191"/>
      <c r="H10" s="191"/>
      <c r="I10" s="191"/>
      <c r="J10" s="192"/>
      <c r="K10" s="23" t="s">
        <v>14</v>
      </c>
      <c r="L10" s="24" t="s">
        <v>24</v>
      </c>
      <c r="M10" s="25">
        <v>48</v>
      </c>
      <c r="N10" s="26">
        <v>1</v>
      </c>
      <c r="O10" s="27">
        <v>4.34</v>
      </c>
      <c r="P10" s="28">
        <f>M10*O10</f>
        <v>208.32</v>
      </c>
      <c r="Q10" s="29">
        <f>P10/P15</f>
        <v>0.70060266896254841</v>
      </c>
      <c r="S10" s="3"/>
    </row>
    <row r="11" spans="1:19" ht="19.5" customHeight="1">
      <c r="A11" s="141" t="s">
        <v>25</v>
      </c>
      <c r="B11" s="172" t="s">
        <v>26</v>
      </c>
      <c r="C11" s="173"/>
      <c r="D11" s="173"/>
      <c r="E11" s="30">
        <f>D24</f>
        <v>112096.42703400775</v>
      </c>
      <c r="F11" s="31" t="s">
        <v>27</v>
      </c>
      <c r="G11" s="32">
        <f>E11/8</f>
        <v>14012.053379250969</v>
      </c>
      <c r="H11" s="174" t="s">
        <v>28</v>
      </c>
      <c r="I11" s="174"/>
      <c r="J11" s="175"/>
      <c r="L11" s="24" t="s">
        <v>29</v>
      </c>
      <c r="M11" s="25">
        <v>9.6</v>
      </c>
      <c r="N11" s="26">
        <v>1</v>
      </c>
      <c r="O11" s="27">
        <v>4.34</v>
      </c>
      <c r="P11" s="28">
        <f>M11*O11</f>
        <v>41.663999999999994</v>
      </c>
      <c r="Q11" s="33">
        <f>P11/P15</f>
        <v>0.14012053379250966</v>
      </c>
      <c r="S11" s="3"/>
    </row>
    <row r="12" spans="1:19" ht="17.25" customHeight="1">
      <c r="A12" s="134"/>
      <c r="B12" s="176" t="s">
        <v>30</v>
      </c>
      <c r="C12" s="177"/>
      <c r="D12" s="177"/>
      <c r="E12" s="177"/>
      <c r="F12" s="177"/>
      <c r="G12" s="177"/>
      <c r="H12" s="177"/>
      <c r="I12" s="177"/>
      <c r="J12" s="178"/>
      <c r="L12" s="24" t="s">
        <v>31</v>
      </c>
      <c r="M12" s="25">
        <v>12</v>
      </c>
      <c r="N12" s="26">
        <v>1</v>
      </c>
      <c r="O12" s="27">
        <v>1</v>
      </c>
      <c r="P12" s="28">
        <f>M12*N12*O12</f>
        <v>12</v>
      </c>
      <c r="Q12" s="33">
        <f>P12/P15</f>
        <v>4.0357296599225143E-2</v>
      </c>
      <c r="R12" s="227"/>
      <c r="S12" s="228"/>
    </row>
    <row r="13" spans="1:19" ht="17.25" customHeight="1">
      <c r="A13" s="134"/>
      <c r="B13" s="176"/>
      <c r="C13" s="177"/>
      <c r="D13" s="177"/>
      <c r="E13" s="177"/>
      <c r="F13" s="177"/>
      <c r="G13" s="177"/>
      <c r="H13" s="177"/>
      <c r="I13" s="177"/>
      <c r="J13" s="178"/>
      <c r="L13" s="24" t="s">
        <v>32</v>
      </c>
      <c r="M13" s="25">
        <v>8</v>
      </c>
      <c r="N13" s="26">
        <v>0.5</v>
      </c>
      <c r="O13" s="27">
        <v>4.34</v>
      </c>
      <c r="P13" s="28">
        <f>M13*N13*O13</f>
        <v>17.36</v>
      </c>
      <c r="Q13" s="34">
        <f>P13/P15</f>
        <v>5.8383555746879034E-2</v>
      </c>
      <c r="S13" s="3"/>
    </row>
    <row r="14" spans="1:19" ht="17.25" customHeight="1">
      <c r="A14" s="134"/>
      <c r="B14" s="176"/>
      <c r="C14" s="177"/>
      <c r="D14" s="177"/>
      <c r="E14" s="177"/>
      <c r="F14" s="177"/>
      <c r="G14" s="177"/>
      <c r="H14" s="177"/>
      <c r="I14" s="177"/>
      <c r="J14" s="178"/>
      <c r="L14" s="24" t="s">
        <v>33</v>
      </c>
      <c r="M14" s="27">
        <v>0</v>
      </c>
      <c r="N14" s="26"/>
      <c r="O14" s="35">
        <v>0</v>
      </c>
      <c r="P14" s="28">
        <v>18</v>
      </c>
      <c r="Q14" s="34">
        <f>P14/P15</f>
        <v>6.0535944898837714E-2</v>
      </c>
      <c r="S14" s="3"/>
    </row>
    <row r="15" spans="1:19" ht="13.5" customHeight="1" thickBot="1">
      <c r="A15" s="134"/>
      <c r="B15" s="125" t="s">
        <v>82</v>
      </c>
      <c r="C15" s="126"/>
      <c r="D15" s="126"/>
      <c r="E15" s="126"/>
      <c r="F15" s="126"/>
      <c r="G15" s="126"/>
      <c r="H15" s="126"/>
      <c r="I15" s="126"/>
      <c r="J15" s="127"/>
      <c r="L15" s="36" t="s">
        <v>34</v>
      </c>
      <c r="M15" s="37"/>
      <c r="N15" s="37"/>
      <c r="O15" s="37">
        <v>0</v>
      </c>
      <c r="P15" s="38">
        <f>SUM(P10:P14)</f>
        <v>297.34399999999999</v>
      </c>
      <c r="Q15" s="39">
        <f>SUM(Q10:Q14)</f>
        <v>1</v>
      </c>
      <c r="S15" s="3"/>
    </row>
    <row r="16" spans="1:19" ht="13.5" customHeight="1">
      <c r="A16" s="134"/>
      <c r="B16" s="125"/>
      <c r="C16" s="126"/>
      <c r="D16" s="126"/>
      <c r="E16" s="126"/>
      <c r="F16" s="126"/>
      <c r="G16" s="126"/>
      <c r="H16" s="126"/>
      <c r="I16" s="126"/>
      <c r="J16" s="127"/>
      <c r="S16" s="3"/>
    </row>
    <row r="17" spans="1:19" ht="21" customHeight="1">
      <c r="A17" s="134"/>
      <c r="B17" s="125" t="s">
        <v>35</v>
      </c>
      <c r="C17" s="126"/>
      <c r="D17" s="126"/>
      <c r="E17" s="126"/>
      <c r="F17" s="126"/>
      <c r="G17" s="126"/>
      <c r="H17" s="126"/>
      <c r="I17" s="126"/>
      <c r="J17" s="127"/>
      <c r="L17" s="162"/>
      <c r="M17" s="163"/>
      <c r="N17" s="40" t="s">
        <v>86</v>
      </c>
      <c r="O17" s="41"/>
      <c r="P17" s="41"/>
      <c r="Q17" s="42">
        <v>9620</v>
      </c>
      <c r="S17" s="3"/>
    </row>
    <row r="18" spans="1:19" ht="15.75" customHeight="1">
      <c r="A18" s="134"/>
      <c r="B18" s="164" t="s">
        <v>97</v>
      </c>
      <c r="C18" s="165"/>
      <c r="D18" s="165"/>
      <c r="E18" s="165"/>
      <c r="F18" s="165"/>
      <c r="G18" s="43">
        <v>160000</v>
      </c>
      <c r="H18" s="166" t="s">
        <v>37</v>
      </c>
      <c r="I18" s="166"/>
      <c r="J18" s="167"/>
      <c r="L18" s="162"/>
      <c r="M18" s="163"/>
      <c r="P18" s="44"/>
      <c r="S18" s="3"/>
    </row>
    <row r="19" spans="1:19" ht="15.75" customHeight="1">
      <c r="A19" s="134"/>
      <c r="B19" s="179" t="s">
        <v>167</v>
      </c>
      <c r="C19" s="180"/>
      <c r="D19" s="180"/>
      <c r="E19" s="180"/>
      <c r="F19" s="180"/>
      <c r="G19" s="180"/>
      <c r="H19" s="180"/>
      <c r="I19" s="180"/>
      <c r="J19" s="181"/>
      <c r="L19" s="45" t="s">
        <v>39</v>
      </c>
      <c r="M19" s="45"/>
      <c r="N19" s="45"/>
      <c r="O19" s="45"/>
      <c r="P19" s="45"/>
      <c r="Q19" s="46"/>
      <c r="S19" s="3"/>
    </row>
    <row r="20" spans="1:19" ht="15.75" customHeight="1">
      <c r="A20" s="82"/>
      <c r="B20" s="179" t="s">
        <v>73</v>
      </c>
      <c r="C20" s="180"/>
      <c r="D20" s="180"/>
      <c r="E20" s="180"/>
      <c r="F20" s="180"/>
      <c r="G20" s="180"/>
      <c r="H20" s="180"/>
      <c r="I20" s="180"/>
      <c r="J20" s="181"/>
      <c r="L20" s="45" t="s">
        <v>44</v>
      </c>
      <c r="M20" s="45"/>
      <c r="N20" s="45"/>
      <c r="O20" s="45"/>
      <c r="P20" s="45"/>
      <c r="Q20" s="46"/>
      <c r="S20" s="3"/>
    </row>
    <row r="21" spans="1:19" ht="15.75" customHeight="1">
      <c r="A21" s="82"/>
      <c r="B21" s="193" t="s">
        <v>168</v>
      </c>
      <c r="C21" s="194"/>
      <c r="D21" s="194"/>
      <c r="E21" s="194"/>
      <c r="F21" s="194"/>
      <c r="G21" s="194"/>
      <c r="H21" s="194"/>
      <c r="I21" s="194"/>
      <c r="J21" s="195"/>
      <c r="L21" s="45" t="s">
        <v>46</v>
      </c>
      <c r="M21" s="45"/>
      <c r="N21" s="45"/>
      <c r="O21" s="45"/>
      <c r="P21" s="45"/>
      <c r="Q21" s="46"/>
      <c r="S21" s="3"/>
    </row>
    <row r="22" spans="1:19" ht="18.75" customHeight="1">
      <c r="A22" s="119" t="s">
        <v>40</v>
      </c>
      <c r="B22" s="146" t="s">
        <v>41</v>
      </c>
      <c r="C22" s="147"/>
      <c r="D22" s="47" t="s">
        <v>24</v>
      </c>
      <c r="E22" s="47" t="s">
        <v>42</v>
      </c>
      <c r="F22" s="47" t="s">
        <v>31</v>
      </c>
      <c r="G22" s="148" t="s">
        <v>43</v>
      </c>
      <c r="H22" s="149"/>
      <c r="I22" s="148" t="s">
        <v>33</v>
      </c>
      <c r="J22" s="150"/>
      <c r="L22" s="45" t="s">
        <v>48</v>
      </c>
      <c r="M22" s="45"/>
      <c r="N22" s="45"/>
      <c r="O22" s="45"/>
      <c r="P22" s="45"/>
      <c r="Q22" s="46"/>
      <c r="R22" s="45"/>
      <c r="S22" s="2"/>
    </row>
    <row r="23" spans="1:19" ht="18.75" customHeight="1">
      <c r="A23" s="120"/>
      <c r="B23" s="151" t="s">
        <v>45</v>
      </c>
      <c r="C23" s="152"/>
      <c r="D23" s="48">
        <f>Q10</f>
        <v>0.70060266896254841</v>
      </c>
      <c r="E23" s="48">
        <f>Q11</f>
        <v>0.14012053379250966</v>
      </c>
      <c r="F23" s="48">
        <f>Q12</f>
        <v>4.0357296599225143E-2</v>
      </c>
      <c r="G23" s="153">
        <f>Q13</f>
        <v>5.8383555746879034E-2</v>
      </c>
      <c r="H23" s="154"/>
      <c r="I23" s="153">
        <f>Q14</f>
        <v>6.0535944898837714E-2</v>
      </c>
      <c r="J23" s="155"/>
      <c r="L23" s="45"/>
      <c r="M23" s="45"/>
      <c r="N23" s="45"/>
      <c r="O23" s="45"/>
      <c r="P23" s="45"/>
      <c r="Q23" s="45"/>
      <c r="R23" s="45"/>
      <c r="S23" s="2"/>
    </row>
    <row r="24" spans="1:19" ht="18.75" customHeight="1">
      <c r="A24" s="121"/>
      <c r="B24" s="49" t="s">
        <v>47</v>
      </c>
      <c r="C24" s="50">
        <f>G11</f>
        <v>14012.053379250969</v>
      </c>
      <c r="D24" s="51">
        <f>G18*$D$23</f>
        <v>112096.42703400775</v>
      </c>
      <c r="E24" s="52">
        <f>G18*$E$23</f>
        <v>22419.285406801544</v>
      </c>
      <c r="F24" s="51">
        <f>G18*$F$23</f>
        <v>6457.1674558760224</v>
      </c>
      <c r="G24" s="156">
        <f>G18*$G$23</f>
        <v>9341.3689195006464</v>
      </c>
      <c r="H24" s="157"/>
      <c r="I24" s="158">
        <f>G18*$I$23</f>
        <v>9685.7511838140344</v>
      </c>
      <c r="J24" s="159"/>
      <c r="L24" s="45"/>
      <c r="M24" s="45"/>
      <c r="N24" s="45"/>
      <c r="O24" s="45"/>
      <c r="P24" s="45"/>
      <c r="Q24" s="45"/>
      <c r="R24" s="45"/>
      <c r="S24" s="2"/>
    </row>
    <row r="25" spans="1:19" ht="54.75" customHeight="1">
      <c r="A25" s="119" t="s">
        <v>49</v>
      </c>
      <c r="B25" s="135" t="s">
        <v>101</v>
      </c>
      <c r="C25" s="136"/>
      <c r="D25" s="136"/>
      <c r="E25" s="136"/>
      <c r="F25" s="136"/>
      <c r="G25" s="136"/>
      <c r="H25" s="136"/>
      <c r="I25" s="136"/>
      <c r="J25" s="137"/>
      <c r="L25" s="45" t="s">
        <v>14</v>
      </c>
      <c r="M25" s="45"/>
      <c r="N25" s="45"/>
      <c r="O25" s="45"/>
      <c r="P25" s="45"/>
      <c r="Q25" s="46"/>
      <c r="S25" s="2"/>
    </row>
    <row r="26" spans="1:19" ht="66.75" customHeight="1">
      <c r="A26" s="134"/>
      <c r="B26" s="138"/>
      <c r="C26" s="139"/>
      <c r="D26" s="139"/>
      <c r="E26" s="139"/>
      <c r="F26" s="139"/>
      <c r="G26" s="139"/>
      <c r="H26" s="139"/>
      <c r="I26" s="139"/>
      <c r="J26" s="140"/>
      <c r="L26" s="45" t="s">
        <v>14</v>
      </c>
      <c r="M26" s="45"/>
      <c r="N26" s="45"/>
      <c r="O26" s="45"/>
      <c r="P26" s="45"/>
      <c r="Q26" s="46"/>
      <c r="S26" s="2"/>
    </row>
    <row r="27" spans="1:19" ht="27.75" customHeight="1">
      <c r="A27" s="141" t="s">
        <v>50</v>
      </c>
      <c r="B27" s="122" t="s">
        <v>70</v>
      </c>
      <c r="C27" s="123"/>
      <c r="D27" s="123"/>
      <c r="E27" s="123"/>
      <c r="F27" s="123"/>
      <c r="G27" s="123"/>
      <c r="H27" s="123"/>
      <c r="I27" s="123"/>
      <c r="J27" s="124"/>
      <c r="L27" s="3">
        <f>C24*8</f>
        <v>112096.42703400775</v>
      </c>
      <c r="M27" s="53">
        <f>E24*5</f>
        <v>112096.42703400772</v>
      </c>
      <c r="N27" s="45"/>
      <c r="O27" s="53"/>
      <c r="P27" s="54"/>
      <c r="Q27" s="53"/>
      <c r="R27" s="55"/>
      <c r="S27" s="56"/>
    </row>
    <row r="28" spans="1:19" ht="27.75" customHeight="1">
      <c r="A28" s="142"/>
      <c r="B28" s="128"/>
      <c r="C28" s="129"/>
      <c r="D28" s="129"/>
      <c r="E28" s="129"/>
      <c r="F28" s="129"/>
      <c r="G28" s="129"/>
      <c r="H28" s="129"/>
      <c r="I28" s="129"/>
      <c r="J28" s="130"/>
      <c r="L28" s="3"/>
      <c r="M28" s="54"/>
      <c r="R28" s="55"/>
      <c r="S28" s="56"/>
    </row>
    <row r="29" spans="1:19" ht="40.5" customHeight="1">
      <c r="A29" s="57" t="s">
        <v>51</v>
      </c>
      <c r="B29" s="122" t="s">
        <v>68</v>
      </c>
      <c r="C29" s="123"/>
      <c r="D29" s="123"/>
      <c r="E29" s="123"/>
      <c r="F29" s="123"/>
      <c r="G29" s="123"/>
      <c r="H29" s="123"/>
      <c r="I29" s="123"/>
      <c r="J29" s="124"/>
      <c r="L29" s="143" t="s">
        <v>52</v>
      </c>
      <c r="M29" s="143"/>
      <c r="N29" s="143"/>
      <c r="O29" s="143"/>
      <c r="P29" s="143"/>
      <c r="Q29" s="143"/>
      <c r="R29" s="55"/>
      <c r="S29" s="56"/>
    </row>
    <row r="30" spans="1:19" ht="23.25" customHeight="1">
      <c r="A30" s="119" t="s">
        <v>53</v>
      </c>
      <c r="B30" s="242" t="s">
        <v>94</v>
      </c>
      <c r="C30" s="243"/>
      <c r="D30" s="243"/>
      <c r="E30" s="243"/>
      <c r="F30" s="243"/>
      <c r="G30" s="243"/>
      <c r="H30" s="243"/>
      <c r="I30" s="243"/>
      <c r="J30" s="244"/>
      <c r="L30" s="143"/>
      <c r="M30" s="143"/>
      <c r="N30" s="143"/>
      <c r="O30" s="143"/>
      <c r="P30" s="143"/>
      <c r="Q30" s="143"/>
      <c r="R30" s="55"/>
      <c r="S30" s="55"/>
    </row>
    <row r="31" spans="1:19" ht="23.25" customHeight="1">
      <c r="A31" s="120"/>
      <c r="B31" s="245"/>
      <c r="C31" s="246"/>
      <c r="D31" s="246"/>
      <c r="E31" s="246"/>
      <c r="F31" s="246"/>
      <c r="G31" s="246"/>
      <c r="H31" s="246"/>
      <c r="I31" s="246"/>
      <c r="J31" s="247"/>
      <c r="L31" s="143"/>
      <c r="M31" s="143"/>
      <c r="N31" s="143"/>
      <c r="O31" s="143"/>
      <c r="P31" s="143"/>
      <c r="Q31" s="143"/>
      <c r="S31" s="2"/>
    </row>
    <row r="32" spans="1:19" ht="23.25" customHeight="1">
      <c r="A32" s="120"/>
      <c r="B32" s="245"/>
      <c r="C32" s="246"/>
      <c r="D32" s="246"/>
      <c r="E32" s="246"/>
      <c r="F32" s="246"/>
      <c r="G32" s="246"/>
      <c r="H32" s="246"/>
      <c r="I32" s="246"/>
      <c r="J32" s="247"/>
      <c r="L32" s="143"/>
      <c r="M32" s="143"/>
      <c r="N32" s="143"/>
      <c r="O32" s="143"/>
      <c r="P32" s="143"/>
      <c r="Q32" s="143"/>
      <c r="S32" s="2"/>
    </row>
    <row r="33" spans="1:19" ht="23.25" customHeight="1">
      <c r="A33" s="120"/>
      <c r="B33" s="245"/>
      <c r="C33" s="246"/>
      <c r="D33" s="246"/>
      <c r="E33" s="246"/>
      <c r="F33" s="246"/>
      <c r="G33" s="246"/>
      <c r="H33" s="246"/>
      <c r="I33" s="246"/>
      <c r="J33" s="247"/>
      <c r="L33" s="18"/>
      <c r="M33" s="18"/>
      <c r="N33" s="18"/>
      <c r="O33" s="18"/>
      <c r="P33" s="18"/>
      <c r="S33" s="2"/>
    </row>
    <row r="34" spans="1:19" ht="23.25" customHeight="1">
      <c r="A34" s="120"/>
      <c r="B34" s="245"/>
      <c r="C34" s="246"/>
      <c r="D34" s="246"/>
      <c r="E34" s="246"/>
      <c r="F34" s="246"/>
      <c r="G34" s="246"/>
      <c r="H34" s="246"/>
      <c r="I34" s="246"/>
      <c r="J34" s="247"/>
      <c r="L34" s="58"/>
      <c r="M34" s="58"/>
      <c r="N34" s="58"/>
      <c r="O34" s="144"/>
      <c r="P34" s="144"/>
      <c r="Q34" s="59"/>
      <c r="S34" s="2"/>
    </row>
    <row r="35" spans="1:19" ht="66.75" customHeight="1">
      <c r="A35" s="121"/>
      <c r="B35" s="248"/>
      <c r="C35" s="249"/>
      <c r="D35" s="249"/>
      <c r="E35" s="249"/>
      <c r="F35" s="249"/>
      <c r="G35" s="249"/>
      <c r="H35" s="249"/>
      <c r="I35" s="249"/>
      <c r="J35" s="250"/>
      <c r="L35" s="60"/>
      <c r="M35" s="60"/>
      <c r="N35" s="60"/>
      <c r="O35" s="145"/>
      <c r="P35" s="145"/>
      <c r="Q35" s="61"/>
      <c r="S35" s="2"/>
    </row>
    <row r="36" spans="1:19" ht="21" customHeight="1">
      <c r="A36" s="119" t="s">
        <v>54</v>
      </c>
      <c r="B36" s="122" t="s">
        <v>169</v>
      </c>
      <c r="C36" s="123"/>
      <c r="D36" s="123"/>
      <c r="E36" s="123"/>
      <c r="F36" s="123"/>
      <c r="G36" s="123"/>
      <c r="H36" s="123"/>
      <c r="I36" s="123"/>
      <c r="J36" s="124"/>
      <c r="L36" s="62"/>
      <c r="M36" s="63"/>
      <c r="N36" s="62"/>
      <c r="O36" s="131"/>
      <c r="P36" s="131"/>
      <c r="Q36" s="64"/>
      <c r="R36" s="65"/>
      <c r="S36" s="2"/>
    </row>
    <row r="37" spans="1:19" ht="19.5" customHeight="1">
      <c r="A37" s="120"/>
      <c r="B37" s="125"/>
      <c r="C37" s="126"/>
      <c r="D37" s="126"/>
      <c r="E37" s="126"/>
      <c r="F37" s="126"/>
      <c r="G37" s="126"/>
      <c r="H37" s="126"/>
      <c r="I37" s="126"/>
      <c r="J37" s="127"/>
      <c r="L37" s="66"/>
      <c r="M37" s="67"/>
      <c r="N37" s="66"/>
      <c r="O37" s="132"/>
      <c r="P37" s="132"/>
      <c r="Q37" s="68"/>
      <c r="R37" s="69"/>
      <c r="S37" s="2"/>
    </row>
    <row r="38" spans="1:19" ht="19.5" customHeight="1">
      <c r="A38" s="120"/>
      <c r="B38" s="125"/>
      <c r="C38" s="126"/>
      <c r="D38" s="126"/>
      <c r="E38" s="126"/>
      <c r="F38" s="126"/>
      <c r="G38" s="126"/>
      <c r="H38" s="126"/>
      <c r="I38" s="126"/>
      <c r="J38" s="127"/>
      <c r="L38" s="70"/>
      <c r="M38" s="71"/>
      <c r="N38" s="70"/>
      <c r="O38" s="133"/>
      <c r="P38" s="133"/>
      <c r="Q38" s="72"/>
      <c r="R38" s="73"/>
      <c r="S38" s="2"/>
    </row>
    <row r="39" spans="1:19" ht="19.5" customHeight="1">
      <c r="A39" s="120"/>
      <c r="B39" s="125"/>
      <c r="C39" s="126"/>
      <c r="D39" s="126"/>
      <c r="E39" s="126"/>
      <c r="F39" s="126"/>
      <c r="G39" s="126"/>
      <c r="H39" s="126"/>
      <c r="I39" s="126"/>
      <c r="J39" s="127"/>
      <c r="L39" s="70"/>
      <c r="M39" s="71"/>
      <c r="N39" s="70"/>
      <c r="O39" s="70"/>
      <c r="P39" s="70"/>
      <c r="Q39" s="72"/>
      <c r="R39" s="73"/>
      <c r="S39" s="2"/>
    </row>
    <row r="40" spans="1:19" ht="19.5" customHeight="1">
      <c r="A40" s="121"/>
      <c r="B40" s="128"/>
      <c r="C40" s="129"/>
      <c r="D40" s="129"/>
      <c r="E40" s="129"/>
      <c r="F40" s="129"/>
      <c r="G40" s="129"/>
      <c r="H40" s="129"/>
      <c r="I40" s="129"/>
      <c r="J40" s="130"/>
      <c r="L40" s="70"/>
      <c r="M40" s="71"/>
      <c r="N40" s="70"/>
      <c r="O40" s="133"/>
      <c r="P40" s="133"/>
      <c r="Q40" s="72"/>
      <c r="R40" s="73"/>
      <c r="S40" s="2"/>
    </row>
    <row r="41" spans="1:19" ht="17.100000000000001" customHeight="1">
      <c r="A41" s="119" t="s">
        <v>75</v>
      </c>
      <c r="B41" s="220" t="s">
        <v>76</v>
      </c>
      <c r="C41" s="221"/>
      <c r="D41" s="84"/>
      <c r="E41" s="84"/>
      <c r="F41" s="84"/>
      <c r="G41" s="84"/>
      <c r="H41" s="84"/>
      <c r="I41" s="84"/>
      <c r="J41" s="85"/>
      <c r="L41" s="70"/>
      <c r="M41" s="71"/>
      <c r="N41" s="70"/>
      <c r="O41" s="70"/>
      <c r="P41" s="70"/>
      <c r="Q41" s="72"/>
      <c r="R41" s="73"/>
      <c r="S41" s="2"/>
    </row>
    <row r="42" spans="1:19" ht="19.5" customHeight="1">
      <c r="A42" s="120"/>
      <c r="B42" s="216" t="s">
        <v>77</v>
      </c>
      <c r="C42" s="217"/>
      <c r="D42" s="216" t="s">
        <v>78</v>
      </c>
      <c r="E42" s="217"/>
      <c r="F42" s="216" t="s">
        <v>79</v>
      </c>
      <c r="G42" s="217"/>
      <c r="H42" s="216" t="s">
        <v>80</v>
      </c>
      <c r="I42" s="217"/>
      <c r="J42" s="87" t="s">
        <v>81</v>
      </c>
      <c r="L42" s="70"/>
      <c r="M42" s="71"/>
      <c r="N42" s="70"/>
      <c r="O42" s="70"/>
      <c r="P42" s="70"/>
      <c r="Q42" s="72"/>
      <c r="R42" s="73"/>
      <c r="S42" s="2"/>
    </row>
    <row r="43" spans="1:19" ht="19.5" customHeight="1">
      <c r="A43" s="120"/>
      <c r="B43" s="218" t="s">
        <v>87</v>
      </c>
      <c r="C43" s="219"/>
      <c r="D43" s="218" t="s">
        <v>87</v>
      </c>
      <c r="E43" s="219"/>
      <c r="F43" s="218" t="s">
        <v>87</v>
      </c>
      <c r="G43" s="219"/>
      <c r="H43" s="218" t="s">
        <v>87</v>
      </c>
      <c r="I43" s="219"/>
      <c r="J43" s="94" t="s">
        <v>87</v>
      </c>
      <c r="L43" s="70"/>
      <c r="M43" s="71"/>
      <c r="N43" s="70"/>
      <c r="O43" s="70"/>
      <c r="P43" s="70"/>
      <c r="Q43" s="72"/>
      <c r="R43" s="73"/>
      <c r="S43" s="2"/>
    </row>
    <row r="44" spans="1:19" ht="19.5" customHeight="1">
      <c r="A44" s="121"/>
      <c r="B44" s="220" t="s">
        <v>161</v>
      </c>
      <c r="C44" s="221"/>
      <c r="D44" s="221"/>
      <c r="E44" s="221"/>
      <c r="F44" s="221"/>
      <c r="G44" s="221"/>
      <c r="H44" s="221"/>
      <c r="I44" s="221"/>
      <c r="J44" s="222"/>
      <c r="L44" s="70"/>
      <c r="M44" s="71"/>
      <c r="N44" s="70"/>
      <c r="O44" s="70"/>
      <c r="P44" s="70"/>
      <c r="Q44" s="72"/>
      <c r="R44" s="73"/>
      <c r="S44" s="2"/>
    </row>
    <row r="45" spans="1:19" ht="21" customHeight="1">
      <c r="A45" s="74" t="s">
        <v>56</v>
      </c>
      <c r="B45" s="105" t="s">
        <v>170</v>
      </c>
      <c r="C45" s="106"/>
      <c r="D45" s="106"/>
      <c r="E45" s="106"/>
      <c r="F45" s="106"/>
      <c r="G45" s="106"/>
      <c r="H45" s="106"/>
      <c r="I45" s="106"/>
      <c r="J45" s="107"/>
      <c r="S45" s="2"/>
    </row>
    <row r="46" spans="1:19" ht="19.5" customHeight="1">
      <c r="A46" s="108" t="s">
        <v>172</v>
      </c>
      <c r="B46" s="109"/>
      <c r="C46" s="109"/>
      <c r="D46" s="109"/>
      <c r="E46" s="109"/>
      <c r="F46" s="109"/>
      <c r="G46" s="109"/>
      <c r="H46" s="109"/>
      <c r="I46" s="109"/>
      <c r="J46" s="110"/>
      <c r="S46" s="3"/>
    </row>
    <row r="47" spans="1:19" s="75" customFormat="1" ht="23.25" customHeight="1">
      <c r="A47" s="111" t="s">
        <v>58</v>
      </c>
      <c r="B47" s="112"/>
      <c r="C47" s="112"/>
      <c r="D47" s="112"/>
      <c r="E47" s="112"/>
      <c r="F47" s="112" t="s">
        <v>59</v>
      </c>
      <c r="G47" s="112"/>
      <c r="H47" s="112"/>
      <c r="I47" s="112"/>
      <c r="J47" s="113"/>
      <c r="S47" s="41"/>
    </row>
    <row r="48" spans="1:19" ht="23.25" customHeight="1">
      <c r="A48" s="114" t="s">
        <v>60</v>
      </c>
      <c r="B48" s="115"/>
      <c r="C48" s="116" t="str">
        <f>A4</f>
        <v>㈜강구토건 대표 이진호</v>
      </c>
      <c r="D48" s="116"/>
      <c r="E48" s="116"/>
      <c r="F48" s="76" t="s">
        <v>61</v>
      </c>
      <c r="G48" s="225" t="s">
        <v>171</v>
      </c>
      <c r="H48" s="225"/>
      <c r="I48" s="225"/>
      <c r="J48" s="226"/>
      <c r="S48" s="3"/>
    </row>
    <row r="49" spans="1:19" ht="23.25" customHeight="1">
      <c r="A49" s="100" t="s">
        <v>62</v>
      </c>
      <c r="B49" s="101"/>
      <c r="C49" s="102" t="s">
        <v>84</v>
      </c>
      <c r="D49" s="102"/>
      <c r="E49" s="102"/>
      <c r="F49" s="77" t="s">
        <v>63</v>
      </c>
      <c r="G49" s="103"/>
      <c r="H49" s="103"/>
      <c r="I49" s="103"/>
      <c r="J49" s="104"/>
      <c r="S49" s="3"/>
    </row>
    <row r="50" spans="1:19" ht="23.25" customHeight="1">
      <c r="A50" s="100" t="s">
        <v>64</v>
      </c>
      <c r="B50" s="101"/>
      <c r="C50" s="102"/>
      <c r="D50" s="102"/>
      <c r="E50" s="102"/>
      <c r="F50" s="78" t="s">
        <v>65</v>
      </c>
      <c r="G50" s="103"/>
      <c r="H50" s="103"/>
      <c r="I50" s="103"/>
      <c r="J50" s="104"/>
      <c r="S50" s="3"/>
    </row>
    <row r="51" spans="1:19" ht="23.25" customHeight="1" thickBot="1">
      <c r="A51" s="95" t="s">
        <v>66</v>
      </c>
      <c r="B51" s="96"/>
      <c r="C51" s="97" t="s">
        <v>124</v>
      </c>
      <c r="D51" s="97"/>
      <c r="E51" s="97"/>
      <c r="F51" s="79" t="s">
        <v>67</v>
      </c>
      <c r="G51" s="98"/>
      <c r="H51" s="98"/>
      <c r="I51" s="98"/>
      <c r="J51" s="99"/>
      <c r="S51" s="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phoneticPr fontId="3" type="noConversion"/>
  <printOptions horizontalCentered="1"/>
  <pageMargins left="0.70866141732283472" right="0.70866141732283472" top="0.74803149606299213" bottom="0.74803149606299213" header="0.31496062992125984" footer="0.31496062992125984"/>
  <pageSetup paperSize="9" scale="63" orientation="portrait" r:id="rId1"/>
  <colBreaks count="1" manualBreakCount="1">
    <brk id="10" max="1048575" man="1"/>
  </col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51"/>
  <sheetViews>
    <sheetView view="pageBreakPreview" zoomScaleNormal="100" zoomScaleSheetLayoutView="100" workbookViewId="0">
      <selection activeCell="G18" sqref="G18"/>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96" t="s">
        <v>203</v>
      </c>
      <c r="B1" s="196"/>
      <c r="C1" s="196"/>
      <c r="D1" s="196"/>
      <c r="E1" s="196"/>
      <c r="F1" s="1"/>
      <c r="G1" s="1"/>
      <c r="H1" s="1"/>
      <c r="I1" s="1"/>
      <c r="J1" s="1"/>
      <c r="L1" s="197" t="s">
        <v>0</v>
      </c>
      <c r="M1" s="197"/>
      <c r="N1" s="197"/>
      <c r="O1" s="197"/>
      <c r="P1" s="197"/>
      <c r="Q1" s="197"/>
      <c r="S1" s="3"/>
    </row>
    <row r="2" spans="1:19" ht="27" customHeight="1">
      <c r="A2" s="198" t="s">
        <v>1</v>
      </c>
      <c r="B2" s="198"/>
      <c r="C2" s="198"/>
      <c r="D2" s="198"/>
      <c r="E2" s="198"/>
      <c r="F2" s="198"/>
      <c r="G2" s="198"/>
      <c r="H2" s="198"/>
      <c r="I2" s="198"/>
      <c r="J2" s="198"/>
      <c r="L2" s="197"/>
      <c r="M2" s="197"/>
      <c r="N2" s="197"/>
      <c r="O2" s="197"/>
      <c r="P2" s="197"/>
      <c r="Q2" s="197"/>
      <c r="S2" s="3"/>
    </row>
    <row r="3" spans="1:19" ht="6" customHeight="1" thickBot="1">
      <c r="A3" s="1"/>
      <c r="B3" s="1"/>
      <c r="C3" s="1"/>
      <c r="D3" s="1"/>
      <c r="E3" s="1"/>
      <c r="F3" s="1"/>
      <c r="G3" s="1"/>
      <c r="H3" s="1"/>
      <c r="I3" s="1"/>
      <c r="J3" s="1"/>
      <c r="K3" s="4"/>
      <c r="L3" s="199" t="s">
        <v>2</v>
      </c>
      <c r="M3" s="199"/>
      <c r="N3" s="199"/>
      <c r="O3" s="199"/>
      <c r="P3" s="199"/>
      <c r="S3" s="3"/>
    </row>
    <row r="4" spans="1:19" ht="17.25" customHeight="1">
      <c r="A4" s="200" t="s">
        <v>74</v>
      </c>
      <c r="B4" s="201"/>
      <c r="C4" s="202" t="s">
        <v>3</v>
      </c>
      <c r="D4" s="202"/>
      <c r="E4" s="88"/>
      <c r="F4" s="202" t="s">
        <v>5</v>
      </c>
      <c r="G4" s="202"/>
      <c r="H4" s="202"/>
      <c r="I4" s="202"/>
      <c r="J4" s="203"/>
      <c r="K4" s="5"/>
      <c r="L4" s="199"/>
      <c r="M4" s="199"/>
      <c r="N4" s="199"/>
      <c r="O4" s="199"/>
      <c r="P4" s="199"/>
      <c r="S4" s="3"/>
    </row>
    <row r="5" spans="1:19" ht="15" customHeight="1" thickBot="1">
      <c r="A5" s="204" t="s">
        <v>6</v>
      </c>
      <c r="B5" s="205"/>
      <c r="C5" s="205"/>
      <c r="D5" s="205"/>
      <c r="E5" s="205"/>
      <c r="F5" s="205"/>
      <c r="G5" s="205"/>
      <c r="H5" s="205"/>
      <c r="I5" s="205"/>
      <c r="J5" s="206"/>
      <c r="K5" s="5"/>
      <c r="L5" s="6" t="s">
        <v>2</v>
      </c>
      <c r="M5" s="7"/>
      <c r="N5" s="8"/>
      <c r="O5" s="9"/>
      <c r="P5" s="9"/>
      <c r="S5" s="3"/>
    </row>
    <row r="6" spans="1:19" ht="21.75" customHeight="1" thickBot="1">
      <c r="A6" s="10" t="s">
        <v>7</v>
      </c>
      <c r="B6" s="207"/>
      <c r="C6" s="208"/>
      <c r="D6" s="208"/>
      <c r="E6" s="209"/>
      <c r="F6" s="210" t="s">
        <v>8</v>
      </c>
      <c r="G6" s="211"/>
      <c r="H6" s="212"/>
      <c r="I6" s="213"/>
      <c r="J6" s="214"/>
      <c r="L6" s="11" t="s">
        <v>9</v>
      </c>
      <c r="M6" s="12"/>
      <c r="N6" s="13" t="s">
        <v>10</v>
      </c>
      <c r="O6" s="14">
        <v>8</v>
      </c>
      <c r="P6" s="15" t="s">
        <v>11</v>
      </c>
      <c r="Q6" s="16">
        <v>6</v>
      </c>
      <c r="S6" s="3"/>
    </row>
    <row r="7" spans="1:19" ht="21.75" customHeight="1">
      <c r="A7" s="17" t="s">
        <v>12</v>
      </c>
      <c r="B7" s="170"/>
      <c r="C7" s="170"/>
      <c r="D7" s="170"/>
      <c r="E7" s="170"/>
      <c r="F7" s="215" t="s">
        <v>13</v>
      </c>
      <c r="G7" s="215"/>
      <c r="H7" s="170" t="s">
        <v>14</v>
      </c>
      <c r="I7" s="170"/>
      <c r="J7" s="171"/>
      <c r="L7" s="18"/>
      <c r="M7" s="18"/>
      <c r="N7" s="18"/>
      <c r="O7" s="18"/>
      <c r="P7" s="18"/>
      <c r="S7" s="3"/>
    </row>
    <row r="8" spans="1:19" ht="18" customHeight="1" thickBot="1">
      <c r="A8" s="141" t="s">
        <v>15</v>
      </c>
      <c r="B8" s="182" t="s">
        <v>179</v>
      </c>
      <c r="C8" s="183"/>
      <c r="D8" s="184" t="s">
        <v>180</v>
      </c>
      <c r="E8" s="183"/>
      <c r="F8" s="19" t="s">
        <v>16</v>
      </c>
      <c r="G8" s="185" t="s">
        <v>17</v>
      </c>
      <c r="H8" s="185"/>
      <c r="I8" s="185"/>
      <c r="J8" s="186"/>
      <c r="L8" s="8"/>
      <c r="M8" s="8"/>
      <c r="N8" s="8"/>
      <c r="O8" s="8"/>
      <c r="P8" s="8"/>
      <c r="S8" s="3"/>
    </row>
    <row r="9" spans="1:19" ht="12" customHeight="1">
      <c r="A9" s="134"/>
      <c r="B9" s="187" t="s">
        <v>69</v>
      </c>
      <c r="C9" s="188"/>
      <c r="D9" s="188"/>
      <c r="E9" s="188"/>
      <c r="F9" s="188"/>
      <c r="G9" s="188"/>
      <c r="H9" s="188"/>
      <c r="I9" s="188"/>
      <c r="J9" s="189"/>
      <c r="L9" s="20" t="s">
        <v>18</v>
      </c>
      <c r="M9" s="21" t="s">
        <v>19</v>
      </c>
      <c r="N9" s="21" t="s">
        <v>20</v>
      </c>
      <c r="O9" s="21" t="s">
        <v>21</v>
      </c>
      <c r="P9" s="21" t="s">
        <v>22</v>
      </c>
      <c r="Q9" s="22" t="s">
        <v>23</v>
      </c>
      <c r="S9" s="3"/>
    </row>
    <row r="10" spans="1:19" ht="30" customHeight="1">
      <c r="A10" s="142"/>
      <c r="B10" s="190"/>
      <c r="C10" s="191"/>
      <c r="D10" s="191"/>
      <c r="E10" s="191"/>
      <c r="F10" s="191"/>
      <c r="G10" s="191"/>
      <c r="H10" s="191"/>
      <c r="I10" s="191"/>
      <c r="J10" s="192"/>
      <c r="K10" s="23" t="s">
        <v>14</v>
      </c>
      <c r="L10" s="24" t="s">
        <v>24</v>
      </c>
      <c r="M10" s="25">
        <v>48</v>
      </c>
      <c r="N10" s="26">
        <v>1</v>
      </c>
      <c r="O10" s="27">
        <v>4.34</v>
      </c>
      <c r="P10" s="28">
        <f>M10*O10</f>
        <v>208.32</v>
      </c>
      <c r="Q10" s="29">
        <f>P10/P15</f>
        <v>0.64827723561043615</v>
      </c>
      <c r="S10" s="3"/>
    </row>
    <row r="11" spans="1:19" ht="19.5" customHeight="1">
      <c r="A11" s="141" t="s">
        <v>25</v>
      </c>
      <c r="B11" s="172" t="s">
        <v>26</v>
      </c>
      <c r="C11" s="173"/>
      <c r="D11" s="173"/>
      <c r="E11" s="30">
        <f>D24</f>
        <v>103724.35769766978</v>
      </c>
      <c r="F11" s="31" t="s">
        <v>27</v>
      </c>
      <c r="G11" s="32">
        <f>E11/8</f>
        <v>12965.544712208723</v>
      </c>
      <c r="H11" s="174" t="s">
        <v>28</v>
      </c>
      <c r="I11" s="174"/>
      <c r="J11" s="175"/>
      <c r="L11" s="24" t="s">
        <v>29</v>
      </c>
      <c r="M11" s="25">
        <v>9.6</v>
      </c>
      <c r="N11" s="26">
        <v>1</v>
      </c>
      <c r="O11" s="27">
        <v>4.34</v>
      </c>
      <c r="P11" s="28">
        <f>M11*O11</f>
        <v>41.663999999999994</v>
      </c>
      <c r="Q11" s="33">
        <f>P11/P15</f>
        <v>0.12965544712208721</v>
      </c>
      <c r="S11" s="3"/>
    </row>
    <row r="12" spans="1:19" ht="17.25" customHeight="1">
      <c r="A12" s="134"/>
      <c r="B12" s="176" t="s">
        <v>30</v>
      </c>
      <c r="C12" s="177"/>
      <c r="D12" s="177"/>
      <c r="E12" s="177"/>
      <c r="F12" s="177"/>
      <c r="G12" s="177"/>
      <c r="H12" s="177"/>
      <c r="I12" s="177"/>
      <c r="J12" s="178"/>
      <c r="L12" s="24" t="s">
        <v>31</v>
      </c>
      <c r="M12" s="25">
        <v>12</v>
      </c>
      <c r="N12" s="26">
        <v>1</v>
      </c>
      <c r="O12" s="27">
        <v>3</v>
      </c>
      <c r="P12" s="28">
        <f>M12*N12*O12</f>
        <v>36</v>
      </c>
      <c r="Q12" s="33">
        <f>P12/P15</f>
        <v>0.11202947619996018</v>
      </c>
      <c r="R12" s="227"/>
      <c r="S12" s="228"/>
    </row>
    <row r="13" spans="1:19" ht="17.25" customHeight="1">
      <c r="A13" s="134"/>
      <c r="B13" s="176"/>
      <c r="C13" s="177"/>
      <c r="D13" s="177"/>
      <c r="E13" s="177"/>
      <c r="F13" s="177"/>
      <c r="G13" s="177"/>
      <c r="H13" s="177"/>
      <c r="I13" s="177"/>
      <c r="J13" s="178"/>
      <c r="L13" s="24" t="s">
        <v>32</v>
      </c>
      <c r="M13" s="25">
        <v>8</v>
      </c>
      <c r="N13" s="26">
        <v>0.5</v>
      </c>
      <c r="O13" s="27">
        <v>4.34</v>
      </c>
      <c r="P13" s="28">
        <f>M13*N13*O13</f>
        <v>17.36</v>
      </c>
      <c r="Q13" s="34">
        <f>P13/P15</f>
        <v>5.4023102967536346E-2</v>
      </c>
      <c r="S13" s="3"/>
    </row>
    <row r="14" spans="1:19" ht="17.25" customHeight="1">
      <c r="A14" s="134"/>
      <c r="B14" s="176"/>
      <c r="C14" s="177"/>
      <c r="D14" s="177"/>
      <c r="E14" s="177"/>
      <c r="F14" s="177"/>
      <c r="G14" s="177"/>
      <c r="H14" s="177"/>
      <c r="I14" s="177"/>
      <c r="J14" s="178"/>
      <c r="L14" s="24" t="s">
        <v>33</v>
      </c>
      <c r="M14" s="27">
        <v>0</v>
      </c>
      <c r="N14" s="26"/>
      <c r="O14" s="35">
        <v>0</v>
      </c>
      <c r="P14" s="28">
        <v>18</v>
      </c>
      <c r="Q14" s="34">
        <f>P14/P15</f>
        <v>5.6014738099980088E-2</v>
      </c>
      <c r="S14" s="3"/>
    </row>
    <row r="15" spans="1:19" ht="13.5" customHeight="1" thickBot="1">
      <c r="A15" s="134"/>
      <c r="B15" s="125" t="s">
        <v>82</v>
      </c>
      <c r="C15" s="126"/>
      <c r="D15" s="126"/>
      <c r="E15" s="126"/>
      <c r="F15" s="126"/>
      <c r="G15" s="126"/>
      <c r="H15" s="126"/>
      <c r="I15" s="126"/>
      <c r="J15" s="127"/>
      <c r="L15" s="36" t="s">
        <v>34</v>
      </c>
      <c r="M15" s="37"/>
      <c r="N15" s="37"/>
      <c r="O15" s="37">
        <v>0</v>
      </c>
      <c r="P15" s="38">
        <f>SUM(P10:P14)</f>
        <v>321.34399999999999</v>
      </c>
      <c r="Q15" s="39">
        <f>SUM(Q10:Q14)</f>
        <v>1</v>
      </c>
      <c r="S15" s="3"/>
    </row>
    <row r="16" spans="1:19" ht="13.5" customHeight="1">
      <c r="A16" s="134"/>
      <c r="B16" s="125"/>
      <c r="C16" s="126"/>
      <c r="D16" s="126"/>
      <c r="E16" s="126"/>
      <c r="F16" s="126"/>
      <c r="G16" s="126"/>
      <c r="H16" s="126"/>
      <c r="I16" s="126"/>
      <c r="J16" s="127"/>
      <c r="S16" s="3"/>
    </row>
    <row r="17" spans="1:19" ht="21" customHeight="1">
      <c r="A17" s="134"/>
      <c r="B17" s="125" t="s">
        <v>35</v>
      </c>
      <c r="C17" s="126"/>
      <c r="D17" s="126"/>
      <c r="E17" s="126"/>
      <c r="F17" s="126"/>
      <c r="G17" s="126"/>
      <c r="H17" s="126"/>
      <c r="I17" s="126"/>
      <c r="J17" s="127"/>
      <c r="L17" s="162"/>
      <c r="M17" s="163"/>
      <c r="N17" s="40" t="s">
        <v>86</v>
      </c>
      <c r="O17" s="41"/>
      <c r="P17" s="41"/>
      <c r="Q17" s="42">
        <v>9620</v>
      </c>
      <c r="S17" s="3"/>
    </row>
    <row r="18" spans="1:19" ht="15.75" customHeight="1">
      <c r="A18" s="134"/>
      <c r="B18" s="164" t="s">
        <v>88</v>
      </c>
      <c r="C18" s="165"/>
      <c r="D18" s="165"/>
      <c r="E18" s="165"/>
      <c r="F18" s="165"/>
      <c r="G18" s="43">
        <v>160000</v>
      </c>
      <c r="H18" s="166" t="s">
        <v>37</v>
      </c>
      <c r="I18" s="166"/>
      <c r="J18" s="167"/>
      <c r="L18" s="162"/>
      <c r="M18" s="163"/>
      <c r="P18" s="44"/>
      <c r="S18" s="3"/>
    </row>
    <row r="19" spans="1:19" ht="15.75" customHeight="1">
      <c r="A19" s="134"/>
      <c r="B19" s="179" t="s">
        <v>152</v>
      </c>
      <c r="C19" s="180"/>
      <c r="D19" s="180"/>
      <c r="E19" s="180"/>
      <c r="F19" s="180"/>
      <c r="G19" s="180"/>
      <c r="H19" s="180"/>
      <c r="I19" s="180"/>
      <c r="J19" s="181"/>
      <c r="L19" s="45" t="s">
        <v>39</v>
      </c>
      <c r="M19" s="45"/>
      <c r="N19" s="45"/>
      <c r="O19" s="45"/>
      <c r="P19" s="45"/>
      <c r="Q19" s="46"/>
      <c r="S19" s="3"/>
    </row>
    <row r="20" spans="1:19" ht="15.75" customHeight="1">
      <c r="A20" s="82"/>
      <c r="B20" s="179" t="s">
        <v>73</v>
      </c>
      <c r="C20" s="180"/>
      <c r="D20" s="180"/>
      <c r="E20" s="180"/>
      <c r="F20" s="180"/>
      <c r="G20" s="180"/>
      <c r="H20" s="180"/>
      <c r="I20" s="180"/>
      <c r="J20" s="181"/>
      <c r="L20" s="45" t="s">
        <v>44</v>
      </c>
      <c r="M20" s="45"/>
      <c r="N20" s="45"/>
      <c r="O20" s="45"/>
      <c r="P20" s="45"/>
      <c r="Q20" s="46"/>
      <c r="S20" s="3"/>
    </row>
    <row r="21" spans="1:19" ht="15.75" customHeight="1">
      <c r="A21" s="82"/>
      <c r="B21" s="193" t="s">
        <v>72</v>
      </c>
      <c r="C21" s="194"/>
      <c r="D21" s="194"/>
      <c r="E21" s="194"/>
      <c r="F21" s="194"/>
      <c r="G21" s="194"/>
      <c r="H21" s="194"/>
      <c r="I21" s="194"/>
      <c r="J21" s="195"/>
      <c r="L21" s="45" t="s">
        <v>46</v>
      </c>
      <c r="M21" s="45"/>
      <c r="N21" s="45"/>
      <c r="O21" s="45"/>
      <c r="P21" s="45"/>
      <c r="Q21" s="46"/>
      <c r="S21" s="3"/>
    </row>
    <row r="22" spans="1:19" ht="18.75" customHeight="1">
      <c r="A22" s="119" t="s">
        <v>40</v>
      </c>
      <c r="B22" s="146" t="s">
        <v>41</v>
      </c>
      <c r="C22" s="147"/>
      <c r="D22" s="47" t="s">
        <v>24</v>
      </c>
      <c r="E22" s="47" t="s">
        <v>42</v>
      </c>
      <c r="F22" s="47" t="s">
        <v>31</v>
      </c>
      <c r="G22" s="148" t="s">
        <v>43</v>
      </c>
      <c r="H22" s="149"/>
      <c r="I22" s="148" t="s">
        <v>33</v>
      </c>
      <c r="J22" s="150"/>
      <c r="L22" s="45" t="s">
        <v>48</v>
      </c>
      <c r="M22" s="45"/>
      <c r="N22" s="45"/>
      <c r="O22" s="45"/>
      <c r="P22" s="45"/>
      <c r="Q22" s="46"/>
      <c r="R22" s="45"/>
      <c r="S22" s="2"/>
    </row>
    <row r="23" spans="1:19" ht="18.75" customHeight="1">
      <c r="A23" s="120"/>
      <c r="B23" s="151" t="s">
        <v>45</v>
      </c>
      <c r="C23" s="152"/>
      <c r="D23" s="48">
        <f>Q10</f>
        <v>0.64827723561043615</v>
      </c>
      <c r="E23" s="48">
        <f>Q11</f>
        <v>0.12965544712208721</v>
      </c>
      <c r="F23" s="48">
        <f>Q12</f>
        <v>0.11202947619996018</v>
      </c>
      <c r="G23" s="153">
        <f>Q13</f>
        <v>5.4023102967536346E-2</v>
      </c>
      <c r="H23" s="154"/>
      <c r="I23" s="153">
        <f>Q14</f>
        <v>5.6014738099980088E-2</v>
      </c>
      <c r="J23" s="155"/>
      <c r="L23" s="45"/>
      <c r="M23" s="45"/>
      <c r="N23" s="45"/>
      <c r="O23" s="45"/>
      <c r="P23" s="45"/>
      <c r="Q23" s="45"/>
      <c r="R23" s="45"/>
      <c r="S23" s="2"/>
    </row>
    <row r="24" spans="1:19" ht="18.75" customHeight="1">
      <c r="A24" s="121"/>
      <c r="B24" s="49" t="s">
        <v>47</v>
      </c>
      <c r="C24" s="50">
        <f>G11</f>
        <v>12965.544712208723</v>
      </c>
      <c r="D24" s="51">
        <f>G18*$D$23</f>
        <v>103724.35769766978</v>
      </c>
      <c r="E24" s="52">
        <f>G18*$E$23</f>
        <v>20744.871539533953</v>
      </c>
      <c r="F24" s="51">
        <f>G18*$F$23</f>
        <v>17924.71619199363</v>
      </c>
      <c r="G24" s="156">
        <f>G18*$G$23</f>
        <v>8643.6964748058163</v>
      </c>
      <c r="H24" s="157"/>
      <c r="I24" s="158">
        <f>G18*$I$23</f>
        <v>8962.3580959968149</v>
      </c>
      <c r="J24" s="159"/>
      <c r="L24" s="45"/>
      <c r="M24" s="45"/>
      <c r="N24" s="45"/>
      <c r="O24" s="45"/>
      <c r="P24" s="45"/>
      <c r="Q24" s="45"/>
      <c r="R24" s="45"/>
      <c r="S24" s="2"/>
    </row>
    <row r="25" spans="1:19" ht="54.75" customHeight="1">
      <c r="A25" s="119" t="s">
        <v>49</v>
      </c>
      <c r="B25" s="135" t="s">
        <v>173</v>
      </c>
      <c r="C25" s="136"/>
      <c r="D25" s="136"/>
      <c r="E25" s="136"/>
      <c r="F25" s="136"/>
      <c r="G25" s="136"/>
      <c r="H25" s="136"/>
      <c r="I25" s="136"/>
      <c r="J25" s="137"/>
      <c r="L25" s="45" t="s">
        <v>14</v>
      </c>
      <c r="M25" s="45"/>
      <c r="N25" s="45"/>
      <c r="O25" s="45"/>
      <c r="P25" s="45"/>
      <c r="Q25" s="46"/>
      <c r="S25" s="2"/>
    </row>
    <row r="26" spans="1:19" ht="66.75" customHeight="1">
      <c r="A26" s="134"/>
      <c r="B26" s="138"/>
      <c r="C26" s="139"/>
      <c r="D26" s="139"/>
      <c r="E26" s="139"/>
      <c r="F26" s="139"/>
      <c r="G26" s="139"/>
      <c r="H26" s="139"/>
      <c r="I26" s="139"/>
      <c r="J26" s="140"/>
      <c r="L26" s="45" t="s">
        <v>14</v>
      </c>
      <c r="M26" s="45"/>
      <c r="N26" s="45"/>
      <c r="O26" s="45"/>
      <c r="P26" s="45"/>
      <c r="Q26" s="46"/>
      <c r="S26" s="2"/>
    </row>
    <row r="27" spans="1:19" ht="27.75" customHeight="1">
      <c r="A27" s="141" t="s">
        <v>50</v>
      </c>
      <c r="B27" s="122" t="s">
        <v>70</v>
      </c>
      <c r="C27" s="123"/>
      <c r="D27" s="123"/>
      <c r="E27" s="123"/>
      <c r="F27" s="123"/>
      <c r="G27" s="123"/>
      <c r="H27" s="123"/>
      <c r="I27" s="123"/>
      <c r="J27" s="124"/>
      <c r="L27" s="3">
        <f>C24*8</f>
        <v>103724.35769766978</v>
      </c>
      <c r="M27" s="53">
        <f>E24*5</f>
        <v>103724.35769766977</v>
      </c>
      <c r="N27" s="45"/>
      <c r="O27" s="53"/>
      <c r="P27" s="54"/>
      <c r="Q27" s="53"/>
      <c r="R27" s="55"/>
      <c r="S27" s="56"/>
    </row>
    <row r="28" spans="1:19" ht="27.75" customHeight="1">
      <c r="A28" s="142"/>
      <c r="B28" s="128"/>
      <c r="C28" s="129"/>
      <c r="D28" s="129"/>
      <c r="E28" s="129"/>
      <c r="F28" s="129"/>
      <c r="G28" s="129"/>
      <c r="H28" s="129"/>
      <c r="I28" s="129"/>
      <c r="J28" s="130"/>
      <c r="L28" s="3"/>
      <c r="M28" s="54"/>
      <c r="R28" s="55"/>
      <c r="S28" s="56"/>
    </row>
    <row r="29" spans="1:19" ht="40.5" customHeight="1">
      <c r="A29" s="57" t="s">
        <v>51</v>
      </c>
      <c r="B29" s="122" t="s">
        <v>68</v>
      </c>
      <c r="C29" s="123"/>
      <c r="D29" s="123"/>
      <c r="E29" s="123"/>
      <c r="F29" s="123"/>
      <c r="G29" s="123"/>
      <c r="H29" s="123"/>
      <c r="I29" s="123"/>
      <c r="J29" s="124"/>
      <c r="L29" s="143" t="s">
        <v>52</v>
      </c>
      <c r="M29" s="143"/>
      <c r="N29" s="143"/>
      <c r="O29" s="143"/>
      <c r="P29" s="143"/>
      <c r="Q29" s="143"/>
      <c r="R29" s="55"/>
      <c r="S29" s="56"/>
    </row>
    <row r="30" spans="1:19" ht="23.25" customHeight="1">
      <c r="A30" s="119" t="s">
        <v>53</v>
      </c>
      <c r="B30" s="122" t="s">
        <v>71</v>
      </c>
      <c r="C30" s="123"/>
      <c r="D30" s="123"/>
      <c r="E30" s="123"/>
      <c r="F30" s="123"/>
      <c r="G30" s="123"/>
      <c r="H30" s="123"/>
      <c r="I30" s="123"/>
      <c r="J30" s="124"/>
      <c r="L30" s="143"/>
      <c r="M30" s="143"/>
      <c r="N30" s="143"/>
      <c r="O30" s="143"/>
      <c r="P30" s="143"/>
      <c r="Q30" s="143"/>
      <c r="R30" s="55"/>
      <c r="S30" s="55"/>
    </row>
    <row r="31" spans="1:19" ht="23.25" customHeight="1">
      <c r="A31" s="120"/>
      <c r="B31" s="125"/>
      <c r="C31" s="126"/>
      <c r="D31" s="126"/>
      <c r="E31" s="126"/>
      <c r="F31" s="126"/>
      <c r="G31" s="126"/>
      <c r="H31" s="126"/>
      <c r="I31" s="126"/>
      <c r="J31" s="127"/>
      <c r="L31" s="143"/>
      <c r="M31" s="143"/>
      <c r="N31" s="143"/>
      <c r="O31" s="143"/>
      <c r="P31" s="143"/>
      <c r="Q31" s="143"/>
      <c r="S31" s="2"/>
    </row>
    <row r="32" spans="1:19" ht="23.25" customHeight="1">
      <c r="A32" s="120"/>
      <c r="B32" s="125"/>
      <c r="C32" s="126"/>
      <c r="D32" s="126"/>
      <c r="E32" s="126"/>
      <c r="F32" s="126"/>
      <c r="G32" s="126"/>
      <c r="H32" s="126"/>
      <c r="I32" s="126"/>
      <c r="J32" s="127"/>
      <c r="L32" s="143"/>
      <c r="M32" s="143"/>
      <c r="N32" s="143"/>
      <c r="O32" s="143"/>
      <c r="P32" s="143"/>
      <c r="Q32" s="143"/>
      <c r="S32" s="2"/>
    </row>
    <row r="33" spans="1:19" ht="23.25" customHeight="1">
      <c r="A33" s="120"/>
      <c r="B33" s="125"/>
      <c r="C33" s="126"/>
      <c r="D33" s="126"/>
      <c r="E33" s="126"/>
      <c r="F33" s="126"/>
      <c r="G33" s="126"/>
      <c r="H33" s="126"/>
      <c r="I33" s="126"/>
      <c r="J33" s="127"/>
      <c r="L33" s="18"/>
      <c r="M33" s="18"/>
      <c r="N33" s="18"/>
      <c r="O33" s="18"/>
      <c r="P33" s="18"/>
      <c r="S33" s="2"/>
    </row>
    <row r="34" spans="1:19" ht="23.25" customHeight="1">
      <c r="A34" s="120"/>
      <c r="B34" s="125"/>
      <c r="C34" s="126"/>
      <c r="D34" s="126"/>
      <c r="E34" s="126"/>
      <c r="F34" s="126"/>
      <c r="G34" s="126"/>
      <c r="H34" s="126"/>
      <c r="I34" s="126"/>
      <c r="J34" s="127"/>
      <c r="L34" s="251"/>
      <c r="M34" s="251"/>
      <c r="N34" s="251"/>
      <c r="O34" s="144"/>
      <c r="P34" s="144"/>
      <c r="Q34" s="59"/>
      <c r="S34" s="2"/>
    </row>
    <row r="35" spans="1:19" ht="28.5" customHeight="1">
      <c r="A35" s="121"/>
      <c r="B35" s="128"/>
      <c r="C35" s="129"/>
      <c r="D35" s="129"/>
      <c r="E35" s="129"/>
      <c r="F35" s="129"/>
      <c r="G35" s="129"/>
      <c r="H35" s="129"/>
      <c r="I35" s="129"/>
      <c r="J35" s="130"/>
      <c r="L35" s="251"/>
      <c r="M35" s="251"/>
      <c r="N35" s="251"/>
      <c r="O35" s="145"/>
      <c r="P35" s="145"/>
      <c r="Q35" s="61"/>
      <c r="S35" s="2"/>
    </row>
    <row r="36" spans="1:19" ht="21" customHeight="1">
      <c r="A36" s="119" t="s">
        <v>54</v>
      </c>
      <c r="B36" s="122" t="s">
        <v>174</v>
      </c>
      <c r="C36" s="123"/>
      <c r="D36" s="123"/>
      <c r="E36" s="123"/>
      <c r="F36" s="123"/>
      <c r="G36" s="123"/>
      <c r="H36" s="123"/>
      <c r="I36" s="123"/>
      <c r="J36" s="124"/>
      <c r="L36" s="62"/>
      <c r="M36" s="63"/>
      <c r="N36" s="62"/>
      <c r="O36" s="131"/>
      <c r="P36" s="131"/>
      <c r="Q36" s="64"/>
      <c r="R36" s="65"/>
      <c r="S36" s="2"/>
    </row>
    <row r="37" spans="1:19" ht="19.5" customHeight="1">
      <c r="A37" s="120"/>
      <c r="B37" s="125"/>
      <c r="C37" s="126"/>
      <c r="D37" s="126"/>
      <c r="E37" s="126"/>
      <c r="F37" s="126"/>
      <c r="G37" s="126"/>
      <c r="H37" s="126"/>
      <c r="I37" s="126"/>
      <c r="J37" s="127"/>
      <c r="L37" s="66"/>
      <c r="M37" s="67"/>
      <c r="N37" s="66"/>
      <c r="O37" s="132"/>
      <c r="P37" s="132"/>
      <c r="Q37" s="68"/>
      <c r="R37" s="69"/>
      <c r="S37" s="2"/>
    </row>
    <row r="38" spans="1:19" ht="19.5" customHeight="1">
      <c r="A38" s="120"/>
      <c r="B38" s="125"/>
      <c r="C38" s="126"/>
      <c r="D38" s="126"/>
      <c r="E38" s="126"/>
      <c r="F38" s="126"/>
      <c r="G38" s="126"/>
      <c r="H38" s="126"/>
      <c r="I38" s="126"/>
      <c r="J38" s="127"/>
      <c r="L38" s="70"/>
      <c r="M38" s="71"/>
      <c r="N38" s="70"/>
      <c r="O38" s="133"/>
      <c r="P38" s="133"/>
      <c r="Q38" s="72"/>
      <c r="R38" s="73"/>
      <c r="S38" s="2"/>
    </row>
    <row r="39" spans="1:19" ht="19.5" customHeight="1">
      <c r="A39" s="120"/>
      <c r="B39" s="125"/>
      <c r="C39" s="126"/>
      <c r="D39" s="126"/>
      <c r="E39" s="126"/>
      <c r="F39" s="126"/>
      <c r="G39" s="126"/>
      <c r="H39" s="126"/>
      <c r="I39" s="126"/>
      <c r="J39" s="127"/>
      <c r="L39" s="70"/>
      <c r="M39" s="71"/>
      <c r="N39" s="70"/>
      <c r="O39" s="70"/>
      <c r="P39" s="70"/>
      <c r="Q39" s="72"/>
      <c r="R39" s="73"/>
      <c r="S39" s="2"/>
    </row>
    <row r="40" spans="1:19" ht="19.5" customHeight="1">
      <c r="A40" s="121"/>
      <c r="B40" s="128"/>
      <c r="C40" s="129"/>
      <c r="D40" s="129"/>
      <c r="E40" s="129"/>
      <c r="F40" s="129"/>
      <c r="G40" s="129"/>
      <c r="H40" s="129"/>
      <c r="I40" s="129"/>
      <c r="J40" s="130"/>
      <c r="L40" s="70"/>
      <c r="M40" s="71"/>
      <c r="N40" s="70"/>
      <c r="O40" s="133"/>
      <c r="P40" s="133"/>
      <c r="Q40" s="72"/>
      <c r="R40" s="73"/>
      <c r="S40" s="2"/>
    </row>
    <row r="41" spans="1:19" ht="17.100000000000001" customHeight="1">
      <c r="A41" s="119" t="s">
        <v>75</v>
      </c>
      <c r="B41" s="220" t="s">
        <v>76</v>
      </c>
      <c r="C41" s="221"/>
      <c r="D41" s="84"/>
      <c r="E41" s="84"/>
      <c r="F41" s="84"/>
      <c r="G41" s="84"/>
      <c r="H41" s="84"/>
      <c r="I41" s="84"/>
      <c r="J41" s="85"/>
      <c r="L41" s="70"/>
      <c r="M41" s="71"/>
      <c r="N41" s="70"/>
      <c r="O41" s="70"/>
      <c r="P41" s="70"/>
      <c r="Q41" s="72"/>
      <c r="R41" s="73"/>
      <c r="S41" s="2"/>
    </row>
    <row r="42" spans="1:19" ht="19.5" customHeight="1">
      <c r="A42" s="120"/>
      <c r="B42" s="216" t="s">
        <v>77</v>
      </c>
      <c r="C42" s="217"/>
      <c r="D42" s="216" t="s">
        <v>78</v>
      </c>
      <c r="E42" s="217"/>
      <c r="F42" s="216" t="s">
        <v>79</v>
      </c>
      <c r="G42" s="217"/>
      <c r="H42" s="216" t="s">
        <v>80</v>
      </c>
      <c r="I42" s="217"/>
      <c r="J42" s="86" t="s">
        <v>81</v>
      </c>
      <c r="L42" s="70"/>
      <c r="M42" s="71"/>
      <c r="N42" s="70"/>
      <c r="O42" s="70"/>
      <c r="P42" s="70"/>
      <c r="Q42" s="72"/>
      <c r="R42" s="73"/>
      <c r="S42" s="2"/>
    </row>
    <row r="43" spans="1:19" ht="19.5" customHeight="1">
      <c r="A43" s="120"/>
      <c r="B43" s="218" t="s">
        <v>87</v>
      </c>
      <c r="C43" s="219"/>
      <c r="D43" s="218" t="s">
        <v>87</v>
      </c>
      <c r="E43" s="219"/>
      <c r="F43" s="218" t="s">
        <v>87</v>
      </c>
      <c r="G43" s="219"/>
      <c r="H43" s="218" t="s">
        <v>87</v>
      </c>
      <c r="I43" s="219"/>
      <c r="J43" s="90" t="s">
        <v>87</v>
      </c>
      <c r="L43" s="70"/>
      <c r="M43" s="71"/>
      <c r="N43" s="70"/>
      <c r="O43" s="70"/>
      <c r="P43" s="70"/>
      <c r="Q43" s="72"/>
      <c r="R43" s="73"/>
      <c r="S43" s="2"/>
    </row>
    <row r="44" spans="1:19" ht="19.5" customHeight="1">
      <c r="A44" s="121"/>
      <c r="B44" s="220" t="s">
        <v>175</v>
      </c>
      <c r="C44" s="221"/>
      <c r="D44" s="221"/>
      <c r="E44" s="221"/>
      <c r="F44" s="221"/>
      <c r="G44" s="221"/>
      <c r="H44" s="221"/>
      <c r="I44" s="221"/>
      <c r="J44" s="222"/>
      <c r="L44" s="70"/>
      <c r="M44" s="71"/>
      <c r="N44" s="70"/>
      <c r="O44" s="70"/>
      <c r="P44" s="70"/>
      <c r="Q44" s="72"/>
      <c r="R44" s="73"/>
      <c r="S44" s="2"/>
    </row>
    <row r="45" spans="1:19" ht="21" customHeight="1">
      <c r="A45" s="74" t="s">
        <v>56</v>
      </c>
      <c r="B45" s="105" t="s">
        <v>132</v>
      </c>
      <c r="C45" s="106"/>
      <c r="D45" s="106"/>
      <c r="E45" s="106"/>
      <c r="F45" s="106"/>
      <c r="G45" s="106"/>
      <c r="H45" s="106"/>
      <c r="I45" s="106"/>
      <c r="J45" s="107"/>
      <c r="S45" s="2"/>
    </row>
    <row r="46" spans="1:19" ht="19.5" customHeight="1">
      <c r="A46" s="108" t="s">
        <v>178</v>
      </c>
      <c r="B46" s="109"/>
      <c r="C46" s="109"/>
      <c r="D46" s="109"/>
      <c r="E46" s="109"/>
      <c r="F46" s="109"/>
      <c r="G46" s="109"/>
      <c r="H46" s="109"/>
      <c r="I46" s="109"/>
      <c r="J46" s="110"/>
      <c r="S46" s="3"/>
    </row>
    <row r="47" spans="1:19" s="75" customFormat="1" ht="23.25" customHeight="1">
      <c r="A47" s="111" t="s">
        <v>58</v>
      </c>
      <c r="B47" s="112"/>
      <c r="C47" s="112"/>
      <c r="D47" s="112"/>
      <c r="E47" s="112"/>
      <c r="F47" s="112" t="s">
        <v>59</v>
      </c>
      <c r="G47" s="112"/>
      <c r="H47" s="112"/>
      <c r="I47" s="112"/>
      <c r="J47" s="113"/>
      <c r="S47" s="41"/>
    </row>
    <row r="48" spans="1:19" ht="23.25" customHeight="1">
      <c r="A48" s="114" t="s">
        <v>60</v>
      </c>
      <c r="B48" s="115"/>
      <c r="C48" s="116" t="str">
        <f>A4</f>
        <v>㈜강구토건 대표 이진호</v>
      </c>
      <c r="D48" s="116"/>
      <c r="E48" s="116"/>
      <c r="F48" s="76" t="s">
        <v>61</v>
      </c>
      <c r="G48" s="117" t="s">
        <v>176</v>
      </c>
      <c r="H48" s="117"/>
      <c r="I48" s="117"/>
      <c r="J48" s="118"/>
      <c r="S48" s="3"/>
    </row>
    <row r="49" spans="1:19" ht="23.25" customHeight="1">
      <c r="A49" s="100" t="s">
        <v>62</v>
      </c>
      <c r="B49" s="101"/>
      <c r="C49" s="102" t="s">
        <v>84</v>
      </c>
      <c r="D49" s="102"/>
      <c r="E49" s="102"/>
      <c r="F49" s="77" t="s">
        <v>63</v>
      </c>
      <c r="G49" s="238"/>
      <c r="H49" s="238"/>
      <c r="I49" s="238"/>
      <c r="J49" s="239"/>
      <c r="S49" s="3"/>
    </row>
    <row r="50" spans="1:19" ht="23.25" customHeight="1">
      <c r="A50" s="100" t="s">
        <v>64</v>
      </c>
      <c r="B50" s="101"/>
      <c r="C50" s="102"/>
      <c r="D50" s="102"/>
      <c r="E50" s="102"/>
      <c r="F50" s="78" t="s">
        <v>65</v>
      </c>
      <c r="G50" s="238"/>
      <c r="H50" s="238"/>
      <c r="I50" s="238"/>
      <c r="J50" s="239"/>
      <c r="S50" s="3"/>
    </row>
    <row r="51" spans="1:19" ht="23.25" customHeight="1" thickBot="1">
      <c r="A51" s="95" t="s">
        <v>66</v>
      </c>
      <c r="B51" s="96"/>
      <c r="C51" s="97" t="s">
        <v>177</v>
      </c>
      <c r="D51" s="97"/>
      <c r="E51" s="97"/>
      <c r="F51" s="79" t="s">
        <v>67</v>
      </c>
      <c r="G51" s="98"/>
      <c r="H51" s="98"/>
      <c r="I51" s="98"/>
      <c r="J51" s="99"/>
      <c r="S51" s="3"/>
    </row>
  </sheetData>
  <mergeCells count="88">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L34:N34"/>
    <mergeCell ref="L35:N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phoneticPr fontId="3" type="noConversion"/>
  <pageMargins left="0.7" right="0.7" top="0.75" bottom="0.75" header="0.3" footer="0.3"/>
  <pageSetup paperSize="9" scale="65" orientation="portrait" r:id="rId1"/>
  <colBreaks count="1" manualBreakCount="1">
    <brk id="10" max="1048575" man="1"/>
  </col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51"/>
  <sheetViews>
    <sheetView view="pageBreakPreview" zoomScaleNormal="100" zoomScaleSheetLayoutView="100" workbookViewId="0">
      <selection activeCell="P12" sqref="P12"/>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96" t="s">
        <v>203</v>
      </c>
      <c r="B1" s="196"/>
      <c r="C1" s="196"/>
      <c r="D1" s="196"/>
      <c r="E1" s="196"/>
      <c r="F1" s="1"/>
      <c r="G1" s="1"/>
      <c r="H1" s="1"/>
      <c r="I1" s="1"/>
      <c r="J1" s="1"/>
      <c r="L1" s="197" t="s">
        <v>0</v>
      </c>
      <c r="M1" s="197"/>
      <c r="N1" s="197"/>
      <c r="O1" s="197"/>
      <c r="P1" s="197"/>
      <c r="Q1" s="197"/>
      <c r="S1" s="3"/>
    </row>
    <row r="2" spans="1:19" ht="27" customHeight="1">
      <c r="A2" s="198" t="s">
        <v>1</v>
      </c>
      <c r="B2" s="198"/>
      <c r="C2" s="198"/>
      <c r="D2" s="198"/>
      <c r="E2" s="198"/>
      <c r="F2" s="198"/>
      <c r="G2" s="198"/>
      <c r="H2" s="198"/>
      <c r="I2" s="198"/>
      <c r="J2" s="198"/>
      <c r="L2" s="197"/>
      <c r="M2" s="197"/>
      <c r="N2" s="197"/>
      <c r="O2" s="197"/>
      <c r="P2" s="197"/>
      <c r="Q2" s="197"/>
      <c r="S2" s="3"/>
    </row>
    <row r="3" spans="1:19" ht="6" customHeight="1" thickBot="1">
      <c r="A3" s="1"/>
      <c r="B3" s="1"/>
      <c r="C3" s="1"/>
      <c r="D3" s="1"/>
      <c r="E3" s="1"/>
      <c r="F3" s="1"/>
      <c r="G3" s="1"/>
      <c r="H3" s="1"/>
      <c r="I3" s="1"/>
      <c r="J3" s="1"/>
      <c r="K3" s="4"/>
      <c r="L3" s="199" t="s">
        <v>2</v>
      </c>
      <c r="M3" s="199"/>
      <c r="N3" s="199"/>
      <c r="O3" s="199"/>
      <c r="P3" s="199"/>
      <c r="S3" s="3"/>
    </row>
    <row r="4" spans="1:19" ht="17.25" customHeight="1">
      <c r="A4" s="200" t="s">
        <v>74</v>
      </c>
      <c r="B4" s="201"/>
      <c r="C4" s="202" t="s">
        <v>3</v>
      </c>
      <c r="D4" s="202"/>
      <c r="E4" s="88"/>
      <c r="F4" s="202" t="s">
        <v>5</v>
      </c>
      <c r="G4" s="202"/>
      <c r="H4" s="202"/>
      <c r="I4" s="202"/>
      <c r="J4" s="203"/>
      <c r="K4" s="5"/>
      <c r="L4" s="199"/>
      <c r="M4" s="199"/>
      <c r="N4" s="199"/>
      <c r="O4" s="199"/>
      <c r="P4" s="199"/>
      <c r="S4" s="3"/>
    </row>
    <row r="5" spans="1:19" ht="15" customHeight="1" thickBot="1">
      <c r="A5" s="204" t="s">
        <v>6</v>
      </c>
      <c r="B5" s="205"/>
      <c r="C5" s="205"/>
      <c r="D5" s="205"/>
      <c r="E5" s="205"/>
      <c r="F5" s="205"/>
      <c r="G5" s="205"/>
      <c r="H5" s="205"/>
      <c r="I5" s="205"/>
      <c r="J5" s="206"/>
      <c r="K5" s="5"/>
      <c r="L5" s="6" t="s">
        <v>2</v>
      </c>
      <c r="M5" s="7"/>
      <c r="N5" s="8"/>
      <c r="O5" s="9"/>
      <c r="P5" s="9"/>
      <c r="S5" s="3"/>
    </row>
    <row r="6" spans="1:19" ht="21.75" customHeight="1" thickBot="1">
      <c r="A6" s="10" t="s">
        <v>7</v>
      </c>
      <c r="B6" s="207"/>
      <c r="C6" s="208"/>
      <c r="D6" s="208"/>
      <c r="E6" s="209"/>
      <c r="F6" s="210" t="s">
        <v>8</v>
      </c>
      <c r="G6" s="211"/>
      <c r="H6" s="212"/>
      <c r="I6" s="213"/>
      <c r="J6" s="214"/>
      <c r="L6" s="11" t="s">
        <v>9</v>
      </c>
      <c r="M6" s="12"/>
      <c r="N6" s="13" t="s">
        <v>10</v>
      </c>
      <c r="O6" s="14">
        <v>8</v>
      </c>
      <c r="P6" s="15" t="s">
        <v>11</v>
      </c>
      <c r="Q6" s="16">
        <v>6</v>
      </c>
      <c r="S6" s="3"/>
    </row>
    <row r="7" spans="1:19" ht="21.75" customHeight="1">
      <c r="A7" s="17" t="s">
        <v>12</v>
      </c>
      <c r="B7" s="170"/>
      <c r="C7" s="170"/>
      <c r="D7" s="170"/>
      <c r="E7" s="170"/>
      <c r="F7" s="215" t="s">
        <v>13</v>
      </c>
      <c r="G7" s="215"/>
      <c r="H7" s="170" t="s">
        <v>14</v>
      </c>
      <c r="I7" s="170"/>
      <c r="J7" s="171"/>
      <c r="L7" s="18"/>
      <c r="M7" s="18"/>
      <c r="N7" s="18"/>
      <c r="O7" s="18"/>
      <c r="P7" s="18"/>
      <c r="S7" s="3"/>
    </row>
    <row r="8" spans="1:19" ht="18" customHeight="1" thickBot="1">
      <c r="A8" s="141" t="s">
        <v>15</v>
      </c>
      <c r="B8" s="182" t="s">
        <v>181</v>
      </c>
      <c r="C8" s="183"/>
      <c r="D8" s="184" t="s">
        <v>182</v>
      </c>
      <c r="E8" s="183"/>
      <c r="F8" s="19" t="s">
        <v>16</v>
      </c>
      <c r="G8" s="185" t="s">
        <v>17</v>
      </c>
      <c r="H8" s="185"/>
      <c r="I8" s="185"/>
      <c r="J8" s="186"/>
      <c r="L8" s="8"/>
      <c r="M8" s="8"/>
      <c r="N8" s="8"/>
      <c r="O8" s="8"/>
      <c r="P8" s="8"/>
      <c r="S8" s="3"/>
    </row>
    <row r="9" spans="1:19" ht="12" customHeight="1">
      <c r="A9" s="134"/>
      <c r="B9" s="187" t="s">
        <v>69</v>
      </c>
      <c r="C9" s="188"/>
      <c r="D9" s="188"/>
      <c r="E9" s="188"/>
      <c r="F9" s="188"/>
      <c r="G9" s="188"/>
      <c r="H9" s="188"/>
      <c r="I9" s="188"/>
      <c r="J9" s="189"/>
      <c r="L9" s="20" t="s">
        <v>18</v>
      </c>
      <c r="M9" s="21" t="s">
        <v>19</v>
      </c>
      <c r="N9" s="21" t="s">
        <v>20</v>
      </c>
      <c r="O9" s="21" t="s">
        <v>21</v>
      </c>
      <c r="P9" s="21" t="s">
        <v>22</v>
      </c>
      <c r="Q9" s="22" t="s">
        <v>23</v>
      </c>
      <c r="S9" s="3"/>
    </row>
    <row r="10" spans="1:19" ht="30" customHeight="1">
      <c r="A10" s="142"/>
      <c r="B10" s="190"/>
      <c r="C10" s="191"/>
      <c r="D10" s="191"/>
      <c r="E10" s="191"/>
      <c r="F10" s="191"/>
      <c r="G10" s="191"/>
      <c r="H10" s="191"/>
      <c r="I10" s="191"/>
      <c r="J10" s="192"/>
      <c r="K10" s="23" t="s">
        <v>14</v>
      </c>
      <c r="L10" s="24" t="s">
        <v>24</v>
      </c>
      <c r="M10" s="25">
        <v>48</v>
      </c>
      <c r="N10" s="26">
        <v>1</v>
      </c>
      <c r="O10" s="27">
        <v>4.34</v>
      </c>
      <c r="P10" s="28">
        <f>M10*O10</f>
        <v>208.32</v>
      </c>
      <c r="Q10" s="29">
        <f>P10/P15</f>
        <v>0.6734250543084721</v>
      </c>
      <c r="S10" s="3"/>
    </row>
    <row r="11" spans="1:19" ht="19.5" customHeight="1">
      <c r="A11" s="141" t="s">
        <v>25</v>
      </c>
      <c r="B11" s="172" t="s">
        <v>26</v>
      </c>
      <c r="C11" s="173"/>
      <c r="D11" s="173"/>
      <c r="E11" s="30">
        <f>D24</f>
        <v>107748.00868935554</v>
      </c>
      <c r="F11" s="31" t="s">
        <v>27</v>
      </c>
      <c r="G11" s="32">
        <f>E11/8</f>
        <v>13468.501086169443</v>
      </c>
      <c r="H11" s="174" t="s">
        <v>28</v>
      </c>
      <c r="I11" s="174"/>
      <c r="J11" s="175"/>
      <c r="L11" s="24" t="s">
        <v>29</v>
      </c>
      <c r="M11" s="25">
        <v>9.6</v>
      </c>
      <c r="N11" s="26">
        <v>1</v>
      </c>
      <c r="O11" s="27">
        <v>4.34</v>
      </c>
      <c r="P11" s="28">
        <f>M11*O11</f>
        <v>41.663999999999994</v>
      </c>
      <c r="Q11" s="33">
        <f>P11/P15</f>
        <v>0.1346850108616944</v>
      </c>
      <c r="S11" s="3"/>
    </row>
    <row r="12" spans="1:19" ht="17.25" customHeight="1">
      <c r="A12" s="134"/>
      <c r="B12" s="176" t="s">
        <v>30</v>
      </c>
      <c r="C12" s="177"/>
      <c r="D12" s="177"/>
      <c r="E12" s="177"/>
      <c r="F12" s="177"/>
      <c r="G12" s="177"/>
      <c r="H12" s="177"/>
      <c r="I12" s="177"/>
      <c r="J12" s="178"/>
      <c r="L12" s="24" t="s">
        <v>31</v>
      </c>
      <c r="M12" s="25">
        <v>12</v>
      </c>
      <c r="N12" s="26">
        <v>1</v>
      </c>
      <c r="O12" s="27">
        <v>2</v>
      </c>
      <c r="P12" s="28">
        <f>M12*N12*O12</f>
        <v>24</v>
      </c>
      <c r="Q12" s="33">
        <f>P12/P15</f>
        <v>7.7583531602358535E-2</v>
      </c>
      <c r="R12" s="227"/>
      <c r="S12" s="228"/>
    </row>
    <row r="13" spans="1:19" ht="17.25" customHeight="1">
      <c r="A13" s="134"/>
      <c r="B13" s="176"/>
      <c r="C13" s="177"/>
      <c r="D13" s="177"/>
      <c r="E13" s="177"/>
      <c r="F13" s="177"/>
      <c r="G13" s="177"/>
      <c r="H13" s="177"/>
      <c r="I13" s="177"/>
      <c r="J13" s="178"/>
      <c r="L13" s="24" t="s">
        <v>32</v>
      </c>
      <c r="M13" s="25">
        <v>8</v>
      </c>
      <c r="N13" s="26">
        <v>0.5</v>
      </c>
      <c r="O13" s="27">
        <v>4.34</v>
      </c>
      <c r="P13" s="28">
        <f>M13*N13*O13</f>
        <v>17.36</v>
      </c>
      <c r="Q13" s="34">
        <f>P13/P15</f>
        <v>5.6118754525706006E-2</v>
      </c>
      <c r="S13" s="3"/>
    </row>
    <row r="14" spans="1:19" ht="17.25" customHeight="1">
      <c r="A14" s="134"/>
      <c r="B14" s="176"/>
      <c r="C14" s="177"/>
      <c r="D14" s="177"/>
      <c r="E14" s="177"/>
      <c r="F14" s="177"/>
      <c r="G14" s="177"/>
      <c r="H14" s="177"/>
      <c r="I14" s="177"/>
      <c r="J14" s="178"/>
      <c r="L14" s="24" t="s">
        <v>33</v>
      </c>
      <c r="M14" s="27">
        <v>0</v>
      </c>
      <c r="N14" s="26"/>
      <c r="O14" s="35">
        <v>0</v>
      </c>
      <c r="P14" s="28">
        <v>18</v>
      </c>
      <c r="Q14" s="34">
        <f>P14/P15</f>
        <v>5.8187648701768908E-2</v>
      </c>
      <c r="S14" s="3"/>
    </row>
    <row r="15" spans="1:19" ht="13.5" customHeight="1" thickBot="1">
      <c r="A15" s="134"/>
      <c r="B15" s="125" t="s">
        <v>82</v>
      </c>
      <c r="C15" s="126"/>
      <c r="D15" s="126"/>
      <c r="E15" s="126"/>
      <c r="F15" s="126"/>
      <c r="G15" s="126"/>
      <c r="H15" s="126"/>
      <c r="I15" s="126"/>
      <c r="J15" s="127"/>
      <c r="L15" s="36" t="s">
        <v>34</v>
      </c>
      <c r="M15" s="37"/>
      <c r="N15" s="37"/>
      <c r="O15" s="37">
        <v>0</v>
      </c>
      <c r="P15" s="38">
        <f>SUM(P10:P14)</f>
        <v>309.34399999999999</v>
      </c>
      <c r="Q15" s="39">
        <f>SUM(Q10:Q14)</f>
        <v>1</v>
      </c>
      <c r="S15" s="3"/>
    </row>
    <row r="16" spans="1:19" ht="13.5" customHeight="1">
      <c r="A16" s="134"/>
      <c r="B16" s="125"/>
      <c r="C16" s="126"/>
      <c r="D16" s="126"/>
      <c r="E16" s="126"/>
      <c r="F16" s="126"/>
      <c r="G16" s="126"/>
      <c r="H16" s="126"/>
      <c r="I16" s="126"/>
      <c r="J16" s="127"/>
      <c r="S16" s="3"/>
    </row>
    <row r="17" spans="1:19" ht="21" customHeight="1">
      <c r="A17" s="134"/>
      <c r="B17" s="125" t="s">
        <v>35</v>
      </c>
      <c r="C17" s="126"/>
      <c r="D17" s="126"/>
      <c r="E17" s="126"/>
      <c r="F17" s="126"/>
      <c r="G17" s="126"/>
      <c r="H17" s="126"/>
      <c r="I17" s="126"/>
      <c r="J17" s="127"/>
      <c r="L17" s="162"/>
      <c r="M17" s="163"/>
      <c r="N17" s="40" t="s">
        <v>86</v>
      </c>
      <c r="O17" s="41"/>
      <c r="P17" s="41"/>
      <c r="Q17" s="42">
        <v>9620</v>
      </c>
      <c r="S17" s="3"/>
    </row>
    <row r="18" spans="1:19" ht="15.75" customHeight="1">
      <c r="A18" s="134"/>
      <c r="B18" s="164" t="s">
        <v>97</v>
      </c>
      <c r="C18" s="165"/>
      <c r="D18" s="165"/>
      <c r="E18" s="165"/>
      <c r="F18" s="165"/>
      <c r="G18" s="43">
        <v>160000</v>
      </c>
      <c r="H18" s="166" t="s">
        <v>37</v>
      </c>
      <c r="I18" s="166"/>
      <c r="J18" s="167"/>
      <c r="L18" s="162"/>
      <c r="M18" s="163"/>
      <c r="P18" s="44"/>
      <c r="S18" s="3"/>
    </row>
    <row r="19" spans="1:19" ht="15.75" customHeight="1">
      <c r="A19" s="134"/>
      <c r="B19" s="179" t="s">
        <v>152</v>
      </c>
      <c r="C19" s="180"/>
      <c r="D19" s="180"/>
      <c r="E19" s="180"/>
      <c r="F19" s="180"/>
      <c r="G19" s="180"/>
      <c r="H19" s="180"/>
      <c r="I19" s="180"/>
      <c r="J19" s="181"/>
      <c r="L19" s="45" t="s">
        <v>39</v>
      </c>
      <c r="M19" s="45"/>
      <c r="N19" s="45"/>
      <c r="O19" s="45"/>
      <c r="P19" s="45"/>
      <c r="Q19" s="46"/>
      <c r="S19" s="3"/>
    </row>
    <row r="20" spans="1:19" ht="15.75" customHeight="1">
      <c r="A20" s="82"/>
      <c r="B20" s="179" t="s">
        <v>73</v>
      </c>
      <c r="C20" s="180"/>
      <c r="D20" s="180"/>
      <c r="E20" s="180"/>
      <c r="F20" s="180"/>
      <c r="G20" s="180"/>
      <c r="H20" s="180"/>
      <c r="I20" s="180"/>
      <c r="J20" s="181"/>
      <c r="L20" s="45" t="s">
        <v>44</v>
      </c>
      <c r="M20" s="45"/>
      <c r="N20" s="45"/>
      <c r="O20" s="45"/>
      <c r="P20" s="45"/>
      <c r="Q20" s="46"/>
      <c r="S20" s="3"/>
    </row>
    <row r="21" spans="1:19" ht="15.75" customHeight="1">
      <c r="A21" s="82"/>
      <c r="B21" s="193" t="s">
        <v>183</v>
      </c>
      <c r="C21" s="194"/>
      <c r="D21" s="194"/>
      <c r="E21" s="194"/>
      <c r="F21" s="194"/>
      <c r="G21" s="194"/>
      <c r="H21" s="194"/>
      <c r="I21" s="194"/>
      <c r="J21" s="195"/>
      <c r="L21" s="45" t="s">
        <v>46</v>
      </c>
      <c r="M21" s="45"/>
      <c r="N21" s="45"/>
      <c r="O21" s="45"/>
      <c r="P21" s="45"/>
      <c r="Q21" s="46"/>
      <c r="S21" s="3"/>
    </row>
    <row r="22" spans="1:19" ht="18.75" customHeight="1">
      <c r="A22" s="119" t="s">
        <v>40</v>
      </c>
      <c r="B22" s="146" t="s">
        <v>41</v>
      </c>
      <c r="C22" s="147"/>
      <c r="D22" s="47" t="s">
        <v>24</v>
      </c>
      <c r="E22" s="47" t="s">
        <v>42</v>
      </c>
      <c r="F22" s="47" t="s">
        <v>31</v>
      </c>
      <c r="G22" s="148" t="s">
        <v>43</v>
      </c>
      <c r="H22" s="149"/>
      <c r="I22" s="148" t="s">
        <v>33</v>
      </c>
      <c r="J22" s="150"/>
      <c r="L22" s="45" t="s">
        <v>48</v>
      </c>
      <c r="M22" s="45"/>
      <c r="N22" s="45"/>
      <c r="O22" s="45"/>
      <c r="P22" s="45"/>
      <c r="Q22" s="46"/>
      <c r="R22" s="45"/>
      <c r="S22" s="2"/>
    </row>
    <row r="23" spans="1:19" ht="18.75" customHeight="1">
      <c r="A23" s="120"/>
      <c r="B23" s="151" t="s">
        <v>45</v>
      </c>
      <c r="C23" s="152"/>
      <c r="D23" s="48">
        <f>Q10</f>
        <v>0.6734250543084721</v>
      </c>
      <c r="E23" s="48">
        <f>Q11</f>
        <v>0.1346850108616944</v>
      </c>
      <c r="F23" s="48">
        <f>Q12</f>
        <v>7.7583531602358535E-2</v>
      </c>
      <c r="G23" s="153">
        <f>Q13</f>
        <v>5.6118754525706006E-2</v>
      </c>
      <c r="H23" s="154"/>
      <c r="I23" s="153">
        <f>Q14</f>
        <v>5.8187648701768908E-2</v>
      </c>
      <c r="J23" s="155"/>
      <c r="L23" s="45"/>
      <c r="M23" s="45"/>
      <c r="N23" s="45"/>
      <c r="O23" s="45"/>
      <c r="P23" s="45"/>
      <c r="Q23" s="45"/>
      <c r="R23" s="45"/>
      <c r="S23" s="2"/>
    </row>
    <row r="24" spans="1:19" ht="18.75" customHeight="1">
      <c r="A24" s="121"/>
      <c r="B24" s="49" t="s">
        <v>47</v>
      </c>
      <c r="C24" s="50">
        <f>G11</f>
        <v>13468.501086169443</v>
      </c>
      <c r="D24" s="51">
        <f>G18*$D$23</f>
        <v>107748.00868935554</v>
      </c>
      <c r="E24" s="52">
        <f>G18*$E$23</f>
        <v>21549.601737871104</v>
      </c>
      <c r="F24" s="51">
        <f>G18*$F$23</f>
        <v>12413.365056377366</v>
      </c>
      <c r="G24" s="156">
        <f>G18*$G$23</f>
        <v>8979.0007241129606</v>
      </c>
      <c r="H24" s="157"/>
      <c r="I24" s="158">
        <f>G18*$I$23</f>
        <v>9310.0237922830256</v>
      </c>
      <c r="J24" s="159"/>
      <c r="L24" s="45"/>
      <c r="M24" s="45"/>
      <c r="N24" s="45"/>
      <c r="O24" s="45"/>
      <c r="P24" s="45"/>
      <c r="Q24" s="45"/>
      <c r="R24" s="45"/>
      <c r="S24" s="2"/>
    </row>
    <row r="25" spans="1:19" ht="54.75" customHeight="1">
      <c r="A25" s="119" t="s">
        <v>49</v>
      </c>
      <c r="B25" s="135" t="s">
        <v>184</v>
      </c>
      <c r="C25" s="136"/>
      <c r="D25" s="136"/>
      <c r="E25" s="136"/>
      <c r="F25" s="136"/>
      <c r="G25" s="136"/>
      <c r="H25" s="136"/>
      <c r="I25" s="136"/>
      <c r="J25" s="137"/>
      <c r="L25" s="45" t="s">
        <v>14</v>
      </c>
      <c r="M25" s="45"/>
      <c r="N25" s="45"/>
      <c r="O25" s="45"/>
      <c r="P25" s="45"/>
      <c r="Q25" s="46"/>
      <c r="S25" s="2"/>
    </row>
    <row r="26" spans="1:19" ht="66.75" customHeight="1">
      <c r="A26" s="134"/>
      <c r="B26" s="138"/>
      <c r="C26" s="139"/>
      <c r="D26" s="139"/>
      <c r="E26" s="139"/>
      <c r="F26" s="139"/>
      <c r="G26" s="139"/>
      <c r="H26" s="139"/>
      <c r="I26" s="139"/>
      <c r="J26" s="140"/>
      <c r="L26" s="45" t="s">
        <v>14</v>
      </c>
      <c r="M26" s="45"/>
      <c r="N26" s="45"/>
      <c r="O26" s="45"/>
      <c r="P26" s="45"/>
      <c r="Q26" s="46"/>
      <c r="S26" s="2"/>
    </row>
    <row r="27" spans="1:19" ht="27.75" customHeight="1">
      <c r="A27" s="141" t="s">
        <v>50</v>
      </c>
      <c r="B27" s="122" t="s">
        <v>70</v>
      </c>
      <c r="C27" s="123"/>
      <c r="D27" s="123"/>
      <c r="E27" s="123"/>
      <c r="F27" s="123"/>
      <c r="G27" s="123"/>
      <c r="H27" s="123"/>
      <c r="I27" s="123"/>
      <c r="J27" s="124"/>
      <c r="L27" s="3">
        <f>C24*8</f>
        <v>107748.00868935554</v>
      </c>
      <c r="M27" s="53">
        <f>E24*5</f>
        <v>107748.00868935551</v>
      </c>
      <c r="N27" s="45"/>
      <c r="O27" s="53"/>
      <c r="P27" s="54"/>
      <c r="Q27" s="53"/>
      <c r="R27" s="55"/>
      <c r="S27" s="56"/>
    </row>
    <row r="28" spans="1:19" ht="27.75" customHeight="1">
      <c r="A28" s="142"/>
      <c r="B28" s="128"/>
      <c r="C28" s="129"/>
      <c r="D28" s="129"/>
      <c r="E28" s="129"/>
      <c r="F28" s="129"/>
      <c r="G28" s="129"/>
      <c r="H28" s="129"/>
      <c r="I28" s="129"/>
      <c r="J28" s="130"/>
      <c r="L28" s="3"/>
      <c r="M28" s="54"/>
      <c r="R28" s="55"/>
      <c r="S28" s="56"/>
    </row>
    <row r="29" spans="1:19" ht="40.5" customHeight="1">
      <c r="A29" s="57" t="s">
        <v>51</v>
      </c>
      <c r="B29" s="122" t="s">
        <v>68</v>
      </c>
      <c r="C29" s="123"/>
      <c r="D29" s="123"/>
      <c r="E29" s="123"/>
      <c r="F29" s="123"/>
      <c r="G29" s="123"/>
      <c r="H29" s="123"/>
      <c r="I29" s="123"/>
      <c r="J29" s="124"/>
      <c r="L29" s="143" t="s">
        <v>52</v>
      </c>
      <c r="M29" s="143"/>
      <c r="N29" s="143"/>
      <c r="O29" s="143"/>
      <c r="P29" s="143"/>
      <c r="Q29" s="143"/>
      <c r="R29" s="55"/>
      <c r="S29" s="56"/>
    </row>
    <row r="30" spans="1:19" ht="23.25" customHeight="1">
      <c r="A30" s="119" t="s">
        <v>53</v>
      </c>
      <c r="B30" s="122" t="s">
        <v>95</v>
      </c>
      <c r="C30" s="123"/>
      <c r="D30" s="123"/>
      <c r="E30" s="123"/>
      <c r="F30" s="123"/>
      <c r="G30" s="123"/>
      <c r="H30" s="123"/>
      <c r="I30" s="123"/>
      <c r="J30" s="124"/>
      <c r="L30" s="143"/>
      <c r="M30" s="143"/>
      <c r="N30" s="143"/>
      <c r="O30" s="143"/>
      <c r="P30" s="143"/>
      <c r="Q30" s="143"/>
      <c r="R30" s="55"/>
      <c r="S30" s="55"/>
    </row>
    <row r="31" spans="1:19" ht="23.25" customHeight="1">
      <c r="A31" s="120"/>
      <c r="B31" s="125"/>
      <c r="C31" s="126"/>
      <c r="D31" s="126"/>
      <c r="E31" s="126"/>
      <c r="F31" s="126"/>
      <c r="G31" s="126"/>
      <c r="H31" s="126"/>
      <c r="I31" s="126"/>
      <c r="J31" s="127"/>
      <c r="L31" s="143"/>
      <c r="M31" s="143"/>
      <c r="N31" s="143"/>
      <c r="O31" s="143"/>
      <c r="P31" s="143"/>
      <c r="Q31" s="143"/>
      <c r="S31" s="2"/>
    </row>
    <row r="32" spans="1:19" ht="23.25" customHeight="1">
      <c r="A32" s="120"/>
      <c r="B32" s="125"/>
      <c r="C32" s="126"/>
      <c r="D32" s="126"/>
      <c r="E32" s="126"/>
      <c r="F32" s="126"/>
      <c r="G32" s="126"/>
      <c r="H32" s="126"/>
      <c r="I32" s="126"/>
      <c r="J32" s="127"/>
      <c r="L32" s="143"/>
      <c r="M32" s="143"/>
      <c r="N32" s="143"/>
      <c r="O32" s="143"/>
      <c r="P32" s="143"/>
      <c r="Q32" s="143"/>
      <c r="S32" s="2"/>
    </row>
    <row r="33" spans="1:19" ht="23.25" customHeight="1">
      <c r="A33" s="120"/>
      <c r="B33" s="125"/>
      <c r="C33" s="126"/>
      <c r="D33" s="126"/>
      <c r="E33" s="126"/>
      <c r="F33" s="126"/>
      <c r="G33" s="126"/>
      <c r="H33" s="126"/>
      <c r="I33" s="126"/>
      <c r="J33" s="127"/>
      <c r="L33" s="18"/>
      <c r="M33" s="18"/>
      <c r="N33" s="18"/>
      <c r="O33" s="18"/>
      <c r="P33" s="18"/>
      <c r="S33" s="2"/>
    </row>
    <row r="34" spans="1:19" ht="23.25" customHeight="1">
      <c r="A34" s="120"/>
      <c r="B34" s="125"/>
      <c r="C34" s="126"/>
      <c r="D34" s="126"/>
      <c r="E34" s="126"/>
      <c r="F34" s="126"/>
      <c r="G34" s="126"/>
      <c r="H34" s="126"/>
      <c r="I34" s="126"/>
      <c r="J34" s="127"/>
      <c r="L34" s="58"/>
      <c r="M34" s="58"/>
      <c r="N34" s="58"/>
      <c r="O34" s="144"/>
      <c r="P34" s="144"/>
      <c r="Q34" s="59"/>
      <c r="S34" s="2"/>
    </row>
    <row r="35" spans="1:19" ht="40.5" customHeight="1">
      <c r="A35" s="121"/>
      <c r="B35" s="128"/>
      <c r="C35" s="129"/>
      <c r="D35" s="129"/>
      <c r="E35" s="129"/>
      <c r="F35" s="129"/>
      <c r="G35" s="129"/>
      <c r="H35" s="129"/>
      <c r="I35" s="129"/>
      <c r="J35" s="130"/>
      <c r="L35" s="60"/>
      <c r="M35" s="60"/>
      <c r="N35" s="60"/>
      <c r="O35" s="145"/>
      <c r="P35" s="145"/>
      <c r="Q35" s="61"/>
      <c r="S35" s="2"/>
    </row>
    <row r="36" spans="1:19" ht="21" customHeight="1">
      <c r="A36" s="119" t="s">
        <v>54</v>
      </c>
      <c r="B36" s="122" t="s">
        <v>185</v>
      </c>
      <c r="C36" s="123"/>
      <c r="D36" s="123"/>
      <c r="E36" s="123"/>
      <c r="F36" s="123"/>
      <c r="G36" s="123"/>
      <c r="H36" s="123"/>
      <c r="I36" s="123"/>
      <c r="J36" s="124"/>
      <c r="L36" s="62"/>
      <c r="M36" s="63"/>
      <c r="N36" s="62"/>
      <c r="O36" s="131"/>
      <c r="P36" s="131"/>
      <c r="Q36" s="64"/>
      <c r="R36" s="65"/>
      <c r="S36" s="2"/>
    </row>
    <row r="37" spans="1:19" ht="19.5" customHeight="1">
      <c r="A37" s="120"/>
      <c r="B37" s="125"/>
      <c r="C37" s="126"/>
      <c r="D37" s="126"/>
      <c r="E37" s="126"/>
      <c r="F37" s="126"/>
      <c r="G37" s="126"/>
      <c r="H37" s="126"/>
      <c r="I37" s="126"/>
      <c r="J37" s="127"/>
      <c r="L37" s="66"/>
      <c r="M37" s="67"/>
      <c r="N37" s="66"/>
      <c r="O37" s="132"/>
      <c r="P37" s="132"/>
      <c r="Q37" s="68"/>
      <c r="R37" s="69"/>
      <c r="S37" s="2"/>
    </row>
    <row r="38" spans="1:19" ht="19.5" customHeight="1">
      <c r="A38" s="120"/>
      <c r="B38" s="125"/>
      <c r="C38" s="126"/>
      <c r="D38" s="126"/>
      <c r="E38" s="126"/>
      <c r="F38" s="126"/>
      <c r="G38" s="126"/>
      <c r="H38" s="126"/>
      <c r="I38" s="126"/>
      <c r="J38" s="127"/>
      <c r="L38" s="70"/>
      <c r="M38" s="71"/>
      <c r="N38" s="70"/>
      <c r="O38" s="133"/>
      <c r="P38" s="133"/>
      <c r="Q38" s="72"/>
      <c r="R38" s="73"/>
      <c r="S38" s="2"/>
    </row>
    <row r="39" spans="1:19" ht="19.5" customHeight="1">
      <c r="A39" s="120"/>
      <c r="B39" s="125"/>
      <c r="C39" s="126"/>
      <c r="D39" s="126"/>
      <c r="E39" s="126"/>
      <c r="F39" s="126"/>
      <c r="G39" s="126"/>
      <c r="H39" s="126"/>
      <c r="I39" s="126"/>
      <c r="J39" s="127"/>
      <c r="L39" s="70"/>
      <c r="M39" s="71"/>
      <c r="N39" s="70"/>
      <c r="O39" s="70"/>
      <c r="P39" s="70"/>
      <c r="Q39" s="72"/>
      <c r="R39" s="73"/>
      <c r="S39" s="2"/>
    </row>
    <row r="40" spans="1:19" ht="28.5" customHeight="1">
      <c r="A40" s="121"/>
      <c r="B40" s="128"/>
      <c r="C40" s="129"/>
      <c r="D40" s="129"/>
      <c r="E40" s="129"/>
      <c r="F40" s="129"/>
      <c r="G40" s="129"/>
      <c r="H40" s="129"/>
      <c r="I40" s="129"/>
      <c r="J40" s="130"/>
      <c r="L40" s="70"/>
      <c r="M40" s="71"/>
      <c r="N40" s="70"/>
      <c r="O40" s="133"/>
      <c r="P40" s="133"/>
      <c r="Q40" s="72"/>
      <c r="R40" s="73"/>
      <c r="S40" s="2"/>
    </row>
    <row r="41" spans="1:19" ht="17.100000000000001" customHeight="1">
      <c r="A41" s="119" t="s">
        <v>75</v>
      </c>
      <c r="B41" s="220" t="s">
        <v>76</v>
      </c>
      <c r="C41" s="221"/>
      <c r="D41" s="84"/>
      <c r="E41" s="84"/>
      <c r="F41" s="84"/>
      <c r="G41" s="84"/>
      <c r="H41" s="84"/>
      <c r="I41" s="84"/>
      <c r="J41" s="85"/>
      <c r="L41" s="70"/>
      <c r="M41" s="71"/>
      <c r="N41" s="70"/>
      <c r="O41" s="70"/>
      <c r="P41" s="70"/>
      <c r="Q41" s="72"/>
      <c r="R41" s="73"/>
      <c r="S41" s="2"/>
    </row>
    <row r="42" spans="1:19" ht="19.5" customHeight="1">
      <c r="A42" s="120"/>
      <c r="B42" s="216" t="s">
        <v>77</v>
      </c>
      <c r="C42" s="217"/>
      <c r="D42" s="216" t="s">
        <v>78</v>
      </c>
      <c r="E42" s="217"/>
      <c r="F42" s="216" t="s">
        <v>79</v>
      </c>
      <c r="G42" s="217"/>
      <c r="H42" s="216" t="s">
        <v>80</v>
      </c>
      <c r="I42" s="217"/>
      <c r="J42" s="86" t="s">
        <v>81</v>
      </c>
      <c r="L42" s="70"/>
      <c r="M42" s="71"/>
      <c r="N42" s="70"/>
      <c r="O42" s="70"/>
      <c r="P42" s="70"/>
      <c r="Q42" s="72"/>
      <c r="R42" s="73"/>
      <c r="S42" s="2"/>
    </row>
    <row r="43" spans="1:19" ht="19.5" customHeight="1">
      <c r="A43" s="120"/>
      <c r="B43" s="218" t="s">
        <v>87</v>
      </c>
      <c r="C43" s="219"/>
      <c r="D43" s="218" t="s">
        <v>87</v>
      </c>
      <c r="E43" s="219"/>
      <c r="F43" s="218" t="s">
        <v>87</v>
      </c>
      <c r="G43" s="219"/>
      <c r="H43" s="218" t="s">
        <v>87</v>
      </c>
      <c r="I43" s="219"/>
      <c r="J43" s="90" t="s">
        <v>87</v>
      </c>
      <c r="L43" s="70"/>
      <c r="M43" s="71"/>
      <c r="N43" s="70"/>
      <c r="O43" s="70"/>
      <c r="P43" s="70"/>
      <c r="Q43" s="72"/>
      <c r="R43" s="73"/>
      <c r="S43" s="2"/>
    </row>
    <row r="44" spans="1:19" ht="19.5" customHeight="1">
      <c r="A44" s="121"/>
      <c r="B44" s="220" t="s">
        <v>186</v>
      </c>
      <c r="C44" s="221"/>
      <c r="D44" s="221"/>
      <c r="E44" s="221"/>
      <c r="F44" s="221"/>
      <c r="G44" s="221"/>
      <c r="H44" s="221"/>
      <c r="I44" s="221"/>
      <c r="J44" s="222"/>
      <c r="L44" s="70"/>
      <c r="M44" s="71"/>
      <c r="N44" s="70"/>
      <c r="O44" s="70"/>
      <c r="P44" s="70"/>
      <c r="Q44" s="72"/>
      <c r="R44" s="73"/>
      <c r="S44" s="2"/>
    </row>
    <row r="45" spans="1:19" ht="21" customHeight="1">
      <c r="A45" s="74" t="s">
        <v>56</v>
      </c>
      <c r="B45" s="105" t="s">
        <v>187</v>
      </c>
      <c r="C45" s="106"/>
      <c r="D45" s="106"/>
      <c r="E45" s="106"/>
      <c r="F45" s="106"/>
      <c r="G45" s="106"/>
      <c r="H45" s="106"/>
      <c r="I45" s="106"/>
      <c r="J45" s="107"/>
      <c r="S45" s="2"/>
    </row>
    <row r="46" spans="1:19" ht="19.5" customHeight="1">
      <c r="A46" s="108" t="s">
        <v>190</v>
      </c>
      <c r="B46" s="109"/>
      <c r="C46" s="109"/>
      <c r="D46" s="109"/>
      <c r="E46" s="109"/>
      <c r="F46" s="109"/>
      <c r="G46" s="109"/>
      <c r="H46" s="109"/>
      <c r="I46" s="109"/>
      <c r="J46" s="110"/>
      <c r="S46" s="3"/>
    </row>
    <row r="47" spans="1:19" s="75" customFormat="1" ht="23.25" customHeight="1">
      <c r="A47" s="111" t="s">
        <v>58</v>
      </c>
      <c r="B47" s="112"/>
      <c r="C47" s="112"/>
      <c r="D47" s="112"/>
      <c r="E47" s="112"/>
      <c r="F47" s="112" t="s">
        <v>59</v>
      </c>
      <c r="G47" s="112"/>
      <c r="H47" s="112"/>
      <c r="I47" s="112"/>
      <c r="J47" s="113"/>
      <c r="S47" s="41"/>
    </row>
    <row r="48" spans="1:19" ht="23.25" customHeight="1">
      <c r="A48" s="114" t="s">
        <v>60</v>
      </c>
      <c r="B48" s="115"/>
      <c r="C48" s="116" t="str">
        <f>A4</f>
        <v>㈜강구토건 대표 이진호</v>
      </c>
      <c r="D48" s="116"/>
      <c r="E48" s="116"/>
      <c r="F48" s="76" t="s">
        <v>61</v>
      </c>
      <c r="G48" s="117" t="s">
        <v>189</v>
      </c>
      <c r="H48" s="117"/>
      <c r="I48" s="117"/>
      <c r="J48" s="118"/>
      <c r="S48" s="3"/>
    </row>
    <row r="49" spans="1:19" ht="23.25" customHeight="1">
      <c r="A49" s="100" t="s">
        <v>62</v>
      </c>
      <c r="B49" s="101"/>
      <c r="C49" s="102" t="s">
        <v>84</v>
      </c>
      <c r="D49" s="102"/>
      <c r="E49" s="102"/>
      <c r="F49" s="77" t="s">
        <v>63</v>
      </c>
      <c r="G49" s="103"/>
      <c r="H49" s="103"/>
      <c r="I49" s="103"/>
      <c r="J49" s="104"/>
      <c r="S49" s="3"/>
    </row>
    <row r="50" spans="1:19" ht="23.25" customHeight="1">
      <c r="A50" s="100" t="s">
        <v>64</v>
      </c>
      <c r="B50" s="101"/>
      <c r="C50" s="103"/>
      <c r="D50" s="103"/>
      <c r="E50" s="103"/>
      <c r="F50" s="78" t="s">
        <v>65</v>
      </c>
      <c r="G50" s="103"/>
      <c r="H50" s="103"/>
      <c r="I50" s="103"/>
      <c r="J50" s="104"/>
      <c r="S50" s="3"/>
    </row>
    <row r="51" spans="1:19" ht="23.25" customHeight="1" thickBot="1">
      <c r="A51" s="95" t="s">
        <v>66</v>
      </c>
      <c r="B51" s="96"/>
      <c r="C51" s="97" t="s">
        <v>188</v>
      </c>
      <c r="D51" s="97"/>
      <c r="E51" s="97"/>
      <c r="F51" s="79" t="s">
        <v>67</v>
      </c>
      <c r="G51" s="98"/>
      <c r="H51" s="98"/>
      <c r="I51" s="98"/>
      <c r="J51" s="99"/>
      <c r="S51" s="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phoneticPr fontId="3" type="noConversion"/>
  <printOptions horizontalCentered="1"/>
  <pageMargins left="0.70866141732283472" right="0.70866141732283472" top="0.74803149606299213" bottom="0.74803149606299213" header="0.31496062992125984" footer="0.31496062992125984"/>
  <pageSetup paperSize="9" scale="63" orientation="portrait" r:id="rId1"/>
  <colBreaks count="1" manualBreakCount="1">
    <brk id="10" max="1048575" man="1"/>
  </col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51"/>
  <sheetViews>
    <sheetView view="pageBreakPreview" zoomScaleNormal="100" zoomScaleSheetLayoutView="100" workbookViewId="0">
      <selection activeCell="B12" sqref="B12:J14"/>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96" t="s">
        <v>203</v>
      </c>
      <c r="B1" s="196"/>
      <c r="C1" s="196"/>
      <c r="D1" s="196"/>
      <c r="E1" s="196"/>
      <c r="F1" s="1"/>
      <c r="G1" s="1"/>
      <c r="H1" s="1"/>
      <c r="I1" s="1"/>
      <c r="J1" s="1"/>
      <c r="L1" s="197" t="s">
        <v>0</v>
      </c>
      <c r="M1" s="197"/>
      <c r="N1" s="197"/>
      <c r="O1" s="197"/>
      <c r="P1" s="197"/>
      <c r="Q1" s="197"/>
      <c r="S1" s="3"/>
    </row>
    <row r="2" spans="1:19" ht="27" customHeight="1">
      <c r="A2" s="198" t="s">
        <v>1</v>
      </c>
      <c r="B2" s="198"/>
      <c r="C2" s="198"/>
      <c r="D2" s="198"/>
      <c r="E2" s="198"/>
      <c r="F2" s="198"/>
      <c r="G2" s="198"/>
      <c r="H2" s="198"/>
      <c r="I2" s="198"/>
      <c r="J2" s="198"/>
      <c r="L2" s="197"/>
      <c r="M2" s="197"/>
      <c r="N2" s="197"/>
      <c r="O2" s="197"/>
      <c r="P2" s="197"/>
      <c r="Q2" s="197"/>
      <c r="S2" s="3"/>
    </row>
    <row r="3" spans="1:19" ht="6" customHeight="1" thickBot="1">
      <c r="A3" s="1"/>
      <c r="B3" s="1"/>
      <c r="C3" s="1"/>
      <c r="D3" s="1"/>
      <c r="E3" s="1"/>
      <c r="F3" s="1"/>
      <c r="G3" s="1"/>
      <c r="H3" s="1"/>
      <c r="I3" s="1"/>
      <c r="J3" s="1"/>
      <c r="K3" s="4"/>
      <c r="L3" s="199" t="s">
        <v>2</v>
      </c>
      <c r="M3" s="199"/>
      <c r="N3" s="199"/>
      <c r="O3" s="199"/>
      <c r="P3" s="199"/>
      <c r="S3" s="3"/>
    </row>
    <row r="4" spans="1:19" ht="17.25" customHeight="1">
      <c r="A4" s="200" t="s">
        <v>74</v>
      </c>
      <c r="B4" s="201"/>
      <c r="C4" s="202" t="s">
        <v>3</v>
      </c>
      <c r="D4" s="202"/>
      <c r="E4" s="88"/>
      <c r="F4" s="202" t="s">
        <v>5</v>
      </c>
      <c r="G4" s="202"/>
      <c r="H4" s="202"/>
      <c r="I4" s="202"/>
      <c r="J4" s="203"/>
      <c r="K4" s="5"/>
      <c r="L4" s="199"/>
      <c r="M4" s="199"/>
      <c r="N4" s="199"/>
      <c r="O4" s="199"/>
      <c r="P4" s="199"/>
      <c r="S4" s="3"/>
    </row>
    <row r="5" spans="1:19" ht="15" customHeight="1" thickBot="1">
      <c r="A5" s="204" t="s">
        <v>6</v>
      </c>
      <c r="B5" s="205"/>
      <c r="C5" s="205"/>
      <c r="D5" s="205"/>
      <c r="E5" s="205"/>
      <c r="F5" s="205"/>
      <c r="G5" s="205"/>
      <c r="H5" s="205"/>
      <c r="I5" s="205"/>
      <c r="J5" s="206"/>
      <c r="K5" s="5"/>
      <c r="L5" s="6" t="s">
        <v>2</v>
      </c>
      <c r="M5" s="7"/>
      <c r="N5" s="8"/>
      <c r="O5" s="9"/>
      <c r="P5" s="9"/>
      <c r="S5" s="3"/>
    </row>
    <row r="6" spans="1:19" ht="21.75" customHeight="1" thickBot="1">
      <c r="A6" s="10" t="s">
        <v>7</v>
      </c>
      <c r="B6" s="207"/>
      <c r="C6" s="208"/>
      <c r="D6" s="208"/>
      <c r="E6" s="209"/>
      <c r="F6" s="210" t="s">
        <v>8</v>
      </c>
      <c r="G6" s="211"/>
      <c r="H6" s="212"/>
      <c r="I6" s="213"/>
      <c r="J6" s="214"/>
      <c r="L6" s="11" t="s">
        <v>9</v>
      </c>
      <c r="M6" s="12"/>
      <c r="N6" s="13" t="s">
        <v>10</v>
      </c>
      <c r="O6" s="14">
        <v>8</v>
      </c>
      <c r="P6" s="15" t="s">
        <v>11</v>
      </c>
      <c r="Q6" s="16">
        <v>6</v>
      </c>
      <c r="S6" s="3"/>
    </row>
    <row r="7" spans="1:19" ht="21.75" customHeight="1">
      <c r="A7" s="17" t="s">
        <v>12</v>
      </c>
      <c r="B7" s="170"/>
      <c r="C7" s="170"/>
      <c r="D7" s="170"/>
      <c r="E7" s="170"/>
      <c r="F7" s="215" t="s">
        <v>13</v>
      </c>
      <c r="G7" s="215"/>
      <c r="H7" s="170" t="s">
        <v>14</v>
      </c>
      <c r="I7" s="170"/>
      <c r="J7" s="171"/>
      <c r="L7" s="18"/>
      <c r="M7" s="18"/>
      <c r="N7" s="18"/>
      <c r="O7" s="18"/>
      <c r="P7" s="18"/>
      <c r="S7" s="3"/>
    </row>
    <row r="8" spans="1:19" ht="18" customHeight="1" thickBot="1">
      <c r="A8" s="141" t="s">
        <v>15</v>
      </c>
      <c r="B8" s="182" t="s">
        <v>197</v>
      </c>
      <c r="C8" s="183"/>
      <c r="D8" s="184" t="s">
        <v>198</v>
      </c>
      <c r="E8" s="183"/>
      <c r="F8" s="19" t="s">
        <v>16</v>
      </c>
      <c r="G8" s="185" t="s">
        <v>17</v>
      </c>
      <c r="H8" s="185"/>
      <c r="I8" s="185"/>
      <c r="J8" s="186"/>
      <c r="L8" s="8"/>
      <c r="M8" s="8"/>
      <c r="N8" s="8"/>
      <c r="O8" s="8"/>
      <c r="P8" s="8"/>
      <c r="S8" s="3"/>
    </row>
    <row r="9" spans="1:19" ht="12" customHeight="1">
      <c r="A9" s="134"/>
      <c r="B9" s="187" t="s">
        <v>69</v>
      </c>
      <c r="C9" s="188"/>
      <c r="D9" s="188"/>
      <c r="E9" s="188"/>
      <c r="F9" s="188"/>
      <c r="G9" s="188"/>
      <c r="H9" s="188"/>
      <c r="I9" s="188"/>
      <c r="J9" s="189"/>
      <c r="L9" s="20" t="s">
        <v>18</v>
      </c>
      <c r="M9" s="21" t="s">
        <v>19</v>
      </c>
      <c r="N9" s="21" t="s">
        <v>20</v>
      </c>
      <c r="O9" s="21" t="s">
        <v>21</v>
      </c>
      <c r="P9" s="21" t="s">
        <v>22</v>
      </c>
      <c r="Q9" s="22" t="s">
        <v>23</v>
      </c>
      <c r="S9" s="3"/>
    </row>
    <row r="10" spans="1:19" ht="30" customHeight="1">
      <c r="A10" s="142"/>
      <c r="B10" s="190"/>
      <c r="C10" s="191"/>
      <c r="D10" s="191"/>
      <c r="E10" s="191"/>
      <c r="F10" s="191"/>
      <c r="G10" s="191"/>
      <c r="H10" s="191"/>
      <c r="I10" s="191"/>
      <c r="J10" s="192"/>
      <c r="K10" s="23" t="s">
        <v>14</v>
      </c>
      <c r="L10" s="24" t="s">
        <v>24</v>
      </c>
      <c r="M10" s="25">
        <v>48</v>
      </c>
      <c r="N10" s="26">
        <v>1</v>
      </c>
      <c r="O10" s="27">
        <v>4.34</v>
      </c>
      <c r="P10" s="28">
        <f>M10*O10</f>
        <v>208.32</v>
      </c>
      <c r="Q10" s="29">
        <f>P10/P15</f>
        <v>0.73006616575081307</v>
      </c>
      <c r="S10" s="3"/>
    </row>
    <row r="11" spans="1:19" ht="19.5" customHeight="1">
      <c r="A11" s="141" t="s">
        <v>25</v>
      </c>
      <c r="B11" s="172" t="s">
        <v>26</v>
      </c>
      <c r="C11" s="173"/>
      <c r="D11" s="173"/>
      <c r="E11" s="30">
        <f>D24</f>
        <v>116810.58652013009</v>
      </c>
      <c r="F11" s="31" t="s">
        <v>27</v>
      </c>
      <c r="G11" s="32">
        <f>E11/8</f>
        <v>14601.323315016261</v>
      </c>
      <c r="H11" s="174" t="s">
        <v>28</v>
      </c>
      <c r="I11" s="174"/>
      <c r="J11" s="175"/>
      <c r="L11" s="24" t="s">
        <v>29</v>
      </c>
      <c r="M11" s="25">
        <v>9.6</v>
      </c>
      <c r="N11" s="26">
        <v>1</v>
      </c>
      <c r="O11" s="27">
        <v>4.34</v>
      </c>
      <c r="P11" s="28">
        <f>M11*O11</f>
        <v>41.663999999999994</v>
      </c>
      <c r="Q11" s="33">
        <f>P11/P15</f>
        <v>0.1460132331501626</v>
      </c>
      <c r="S11" s="3"/>
    </row>
    <row r="12" spans="1:19" ht="17.25" customHeight="1">
      <c r="A12" s="134"/>
      <c r="B12" s="176" t="s">
        <v>30</v>
      </c>
      <c r="C12" s="177"/>
      <c r="D12" s="177"/>
      <c r="E12" s="177"/>
      <c r="F12" s="177"/>
      <c r="G12" s="177"/>
      <c r="H12" s="177"/>
      <c r="I12" s="177"/>
      <c r="J12" s="178"/>
      <c r="L12" s="24" t="s">
        <v>31</v>
      </c>
      <c r="M12" s="25">
        <v>12</v>
      </c>
      <c r="N12" s="26">
        <v>1</v>
      </c>
      <c r="O12" s="27">
        <v>0</v>
      </c>
      <c r="P12" s="28">
        <f>M12*N12*O12</f>
        <v>0</v>
      </c>
      <c r="Q12" s="33">
        <f>P12/P15</f>
        <v>0</v>
      </c>
      <c r="R12" s="227"/>
      <c r="S12" s="228"/>
    </row>
    <row r="13" spans="1:19" ht="17.25" customHeight="1">
      <c r="A13" s="134"/>
      <c r="B13" s="176"/>
      <c r="C13" s="177"/>
      <c r="D13" s="177"/>
      <c r="E13" s="177"/>
      <c r="F13" s="177"/>
      <c r="G13" s="177"/>
      <c r="H13" s="177"/>
      <c r="I13" s="177"/>
      <c r="J13" s="178"/>
      <c r="L13" s="24" t="s">
        <v>32</v>
      </c>
      <c r="M13" s="25">
        <v>8</v>
      </c>
      <c r="N13" s="26">
        <v>0.5</v>
      </c>
      <c r="O13" s="27">
        <v>4.34</v>
      </c>
      <c r="P13" s="28">
        <f>M13*N13*O13</f>
        <v>17.36</v>
      </c>
      <c r="Q13" s="34">
        <f>P13/P15</f>
        <v>6.0838847145901084E-2</v>
      </c>
      <c r="S13" s="3"/>
    </row>
    <row r="14" spans="1:19" ht="17.25" customHeight="1">
      <c r="A14" s="134"/>
      <c r="B14" s="176"/>
      <c r="C14" s="177"/>
      <c r="D14" s="177"/>
      <c r="E14" s="177"/>
      <c r="F14" s="177"/>
      <c r="G14" s="177"/>
      <c r="H14" s="177"/>
      <c r="I14" s="177"/>
      <c r="J14" s="178"/>
      <c r="L14" s="24" t="s">
        <v>33</v>
      </c>
      <c r="M14" s="27">
        <v>0</v>
      </c>
      <c r="N14" s="26"/>
      <c r="O14" s="35">
        <v>0</v>
      </c>
      <c r="P14" s="28">
        <v>18</v>
      </c>
      <c r="Q14" s="34">
        <f>P14/P15</f>
        <v>6.3081753953123251E-2</v>
      </c>
      <c r="S14" s="3"/>
    </row>
    <row r="15" spans="1:19" ht="13.5" customHeight="1" thickBot="1">
      <c r="A15" s="134"/>
      <c r="B15" s="125" t="s">
        <v>82</v>
      </c>
      <c r="C15" s="126"/>
      <c r="D15" s="126"/>
      <c r="E15" s="126"/>
      <c r="F15" s="126"/>
      <c r="G15" s="126"/>
      <c r="H15" s="126"/>
      <c r="I15" s="126"/>
      <c r="J15" s="127"/>
      <c r="L15" s="36" t="s">
        <v>34</v>
      </c>
      <c r="M15" s="37"/>
      <c r="N15" s="37"/>
      <c r="O15" s="37">
        <v>0</v>
      </c>
      <c r="P15" s="38">
        <f>SUM(P10:P14)</f>
        <v>285.34399999999999</v>
      </c>
      <c r="Q15" s="39">
        <f>SUM(Q10:Q14)</f>
        <v>0.99999999999999989</v>
      </c>
      <c r="S15" s="3"/>
    </row>
    <row r="16" spans="1:19" ht="13.5" customHeight="1">
      <c r="A16" s="134"/>
      <c r="B16" s="125"/>
      <c r="C16" s="126"/>
      <c r="D16" s="126"/>
      <c r="E16" s="126"/>
      <c r="F16" s="126"/>
      <c r="G16" s="126"/>
      <c r="H16" s="126"/>
      <c r="I16" s="126"/>
      <c r="J16" s="127"/>
      <c r="S16" s="3"/>
    </row>
    <row r="17" spans="1:19" ht="21" customHeight="1">
      <c r="A17" s="134"/>
      <c r="B17" s="125" t="s">
        <v>35</v>
      </c>
      <c r="C17" s="126"/>
      <c r="D17" s="126"/>
      <c r="E17" s="126"/>
      <c r="F17" s="126"/>
      <c r="G17" s="126"/>
      <c r="H17" s="126"/>
      <c r="I17" s="126"/>
      <c r="J17" s="127"/>
      <c r="L17" s="162"/>
      <c r="M17" s="163"/>
      <c r="N17" s="40" t="s">
        <v>86</v>
      </c>
      <c r="O17" s="41"/>
      <c r="P17" s="41"/>
      <c r="Q17" s="42">
        <v>9620</v>
      </c>
      <c r="S17" s="3"/>
    </row>
    <row r="18" spans="1:19" ht="15.75" customHeight="1">
      <c r="A18" s="134"/>
      <c r="B18" s="164" t="s">
        <v>97</v>
      </c>
      <c r="C18" s="165"/>
      <c r="D18" s="165"/>
      <c r="E18" s="165"/>
      <c r="F18" s="165"/>
      <c r="G18" s="43">
        <v>160000</v>
      </c>
      <c r="H18" s="166" t="s">
        <v>37</v>
      </c>
      <c r="I18" s="166"/>
      <c r="J18" s="167"/>
      <c r="L18" s="162"/>
      <c r="M18" s="163"/>
      <c r="P18" s="44"/>
      <c r="S18" s="3"/>
    </row>
    <row r="19" spans="1:19" ht="15.75" customHeight="1">
      <c r="A19" s="134"/>
      <c r="B19" s="179" t="s">
        <v>191</v>
      </c>
      <c r="C19" s="180"/>
      <c r="D19" s="180"/>
      <c r="E19" s="180"/>
      <c r="F19" s="180"/>
      <c r="G19" s="180"/>
      <c r="H19" s="180"/>
      <c r="I19" s="180"/>
      <c r="J19" s="181"/>
      <c r="L19" s="45" t="s">
        <v>39</v>
      </c>
      <c r="M19" s="45"/>
      <c r="N19" s="45"/>
      <c r="O19" s="45"/>
      <c r="P19" s="45"/>
      <c r="Q19" s="46"/>
      <c r="S19" s="3"/>
    </row>
    <row r="20" spans="1:19" ht="15.75" customHeight="1">
      <c r="A20" s="82"/>
      <c r="B20" s="179" t="s">
        <v>73</v>
      </c>
      <c r="C20" s="180"/>
      <c r="D20" s="180"/>
      <c r="E20" s="180"/>
      <c r="F20" s="180"/>
      <c r="G20" s="180"/>
      <c r="H20" s="180"/>
      <c r="I20" s="180"/>
      <c r="J20" s="181"/>
      <c r="L20" s="45" t="s">
        <v>44</v>
      </c>
      <c r="M20" s="45"/>
      <c r="N20" s="45"/>
      <c r="O20" s="45"/>
      <c r="P20" s="45"/>
      <c r="Q20" s="46"/>
      <c r="S20" s="3"/>
    </row>
    <row r="21" spans="1:19" ht="15.75" customHeight="1">
      <c r="A21" s="82"/>
      <c r="B21" s="193" t="s">
        <v>192</v>
      </c>
      <c r="C21" s="194"/>
      <c r="D21" s="194"/>
      <c r="E21" s="194"/>
      <c r="F21" s="194"/>
      <c r="G21" s="194"/>
      <c r="H21" s="194"/>
      <c r="I21" s="194"/>
      <c r="J21" s="195"/>
      <c r="L21" s="45" t="s">
        <v>46</v>
      </c>
      <c r="M21" s="45"/>
      <c r="N21" s="45"/>
      <c r="O21" s="45"/>
      <c r="P21" s="45"/>
      <c r="Q21" s="46"/>
      <c r="S21" s="3"/>
    </row>
    <row r="22" spans="1:19" ht="18.75" customHeight="1">
      <c r="A22" s="119" t="s">
        <v>40</v>
      </c>
      <c r="B22" s="146" t="s">
        <v>41</v>
      </c>
      <c r="C22" s="147"/>
      <c r="D22" s="47" t="s">
        <v>24</v>
      </c>
      <c r="E22" s="47" t="s">
        <v>42</v>
      </c>
      <c r="F22" s="47" t="s">
        <v>31</v>
      </c>
      <c r="G22" s="148" t="s">
        <v>43</v>
      </c>
      <c r="H22" s="149"/>
      <c r="I22" s="148" t="s">
        <v>33</v>
      </c>
      <c r="J22" s="150"/>
      <c r="L22" s="45" t="s">
        <v>48</v>
      </c>
      <c r="M22" s="45"/>
      <c r="N22" s="45"/>
      <c r="O22" s="45"/>
      <c r="P22" s="45"/>
      <c r="Q22" s="46"/>
      <c r="R22" s="45"/>
      <c r="S22" s="2"/>
    </row>
    <row r="23" spans="1:19" ht="18.75" customHeight="1">
      <c r="A23" s="120"/>
      <c r="B23" s="151" t="s">
        <v>45</v>
      </c>
      <c r="C23" s="152"/>
      <c r="D23" s="48">
        <f>Q10</f>
        <v>0.73006616575081307</v>
      </c>
      <c r="E23" s="48">
        <f>Q11</f>
        <v>0.1460132331501626</v>
      </c>
      <c r="F23" s="48">
        <f>Q12</f>
        <v>0</v>
      </c>
      <c r="G23" s="153">
        <f>Q13</f>
        <v>6.0838847145901084E-2</v>
      </c>
      <c r="H23" s="154"/>
      <c r="I23" s="153">
        <f>Q14</f>
        <v>6.3081753953123251E-2</v>
      </c>
      <c r="J23" s="155"/>
      <c r="L23" s="45"/>
      <c r="M23" s="45"/>
      <c r="N23" s="45"/>
      <c r="O23" s="45"/>
      <c r="P23" s="45"/>
      <c r="Q23" s="45"/>
      <c r="R23" s="45"/>
      <c r="S23" s="2"/>
    </row>
    <row r="24" spans="1:19" ht="18.75" customHeight="1">
      <c r="A24" s="121"/>
      <c r="B24" s="49" t="s">
        <v>47</v>
      </c>
      <c r="C24" s="50">
        <f>G11</f>
        <v>14601.323315016261</v>
      </c>
      <c r="D24" s="51">
        <f>G18*$D$23</f>
        <v>116810.58652013009</v>
      </c>
      <c r="E24" s="52">
        <f>G18*$E$23</f>
        <v>23362.117304026015</v>
      </c>
      <c r="F24" s="51">
        <f>G18*$F$23</f>
        <v>0</v>
      </c>
      <c r="G24" s="156">
        <f>G18*$G$23</f>
        <v>9734.2155433441731</v>
      </c>
      <c r="H24" s="157"/>
      <c r="I24" s="158">
        <f>G18*$I$23</f>
        <v>10093.080632499721</v>
      </c>
      <c r="J24" s="159"/>
      <c r="L24" s="45"/>
      <c r="M24" s="45"/>
      <c r="N24" s="45"/>
      <c r="O24" s="45"/>
      <c r="P24" s="45"/>
      <c r="Q24" s="45"/>
      <c r="R24" s="45"/>
      <c r="S24" s="2"/>
    </row>
    <row r="25" spans="1:19" ht="54.75" customHeight="1">
      <c r="A25" s="119" t="s">
        <v>49</v>
      </c>
      <c r="B25" s="135" t="s">
        <v>184</v>
      </c>
      <c r="C25" s="136"/>
      <c r="D25" s="136"/>
      <c r="E25" s="136"/>
      <c r="F25" s="136"/>
      <c r="G25" s="136"/>
      <c r="H25" s="136"/>
      <c r="I25" s="136"/>
      <c r="J25" s="137"/>
      <c r="L25" s="45" t="s">
        <v>14</v>
      </c>
      <c r="M25" s="45"/>
      <c r="N25" s="45"/>
      <c r="O25" s="45"/>
      <c r="P25" s="45"/>
      <c r="Q25" s="46"/>
      <c r="S25" s="2"/>
    </row>
    <row r="26" spans="1:19" ht="66.75" customHeight="1">
      <c r="A26" s="134"/>
      <c r="B26" s="138"/>
      <c r="C26" s="139"/>
      <c r="D26" s="139"/>
      <c r="E26" s="139"/>
      <c r="F26" s="139"/>
      <c r="G26" s="139"/>
      <c r="H26" s="139"/>
      <c r="I26" s="139"/>
      <c r="J26" s="140"/>
      <c r="L26" s="45" t="s">
        <v>14</v>
      </c>
      <c r="M26" s="45"/>
      <c r="N26" s="45"/>
      <c r="O26" s="45"/>
      <c r="P26" s="45"/>
      <c r="Q26" s="46"/>
      <c r="S26" s="2"/>
    </row>
    <row r="27" spans="1:19" ht="27.75" customHeight="1">
      <c r="A27" s="141" t="s">
        <v>50</v>
      </c>
      <c r="B27" s="122" t="s">
        <v>70</v>
      </c>
      <c r="C27" s="123"/>
      <c r="D27" s="123"/>
      <c r="E27" s="123"/>
      <c r="F27" s="123"/>
      <c r="G27" s="123"/>
      <c r="H27" s="123"/>
      <c r="I27" s="123"/>
      <c r="J27" s="124"/>
      <c r="L27" s="3">
        <f>C24*8</f>
        <v>116810.58652013009</v>
      </c>
      <c r="M27" s="53">
        <f>E24*5</f>
        <v>116810.58652013008</v>
      </c>
      <c r="N27" s="45"/>
      <c r="O27" s="53"/>
      <c r="P27" s="54"/>
      <c r="Q27" s="53"/>
      <c r="R27" s="55"/>
      <c r="S27" s="56"/>
    </row>
    <row r="28" spans="1:19" ht="27.75" customHeight="1">
      <c r="A28" s="142"/>
      <c r="B28" s="128"/>
      <c r="C28" s="129"/>
      <c r="D28" s="129"/>
      <c r="E28" s="129"/>
      <c r="F28" s="129"/>
      <c r="G28" s="129"/>
      <c r="H28" s="129"/>
      <c r="I28" s="129"/>
      <c r="J28" s="130"/>
      <c r="L28" s="3"/>
      <c r="M28" s="54"/>
      <c r="R28" s="55"/>
      <c r="S28" s="56"/>
    </row>
    <row r="29" spans="1:19" ht="40.5" customHeight="1">
      <c r="A29" s="57" t="s">
        <v>51</v>
      </c>
      <c r="B29" s="122" t="s">
        <v>68</v>
      </c>
      <c r="C29" s="123"/>
      <c r="D29" s="123"/>
      <c r="E29" s="123"/>
      <c r="F29" s="123"/>
      <c r="G29" s="123"/>
      <c r="H29" s="123"/>
      <c r="I29" s="123"/>
      <c r="J29" s="124"/>
      <c r="L29" s="143" t="s">
        <v>52</v>
      </c>
      <c r="M29" s="143"/>
      <c r="N29" s="143"/>
      <c r="O29" s="143"/>
      <c r="P29" s="143"/>
      <c r="Q29" s="143"/>
      <c r="R29" s="55"/>
      <c r="S29" s="56"/>
    </row>
    <row r="30" spans="1:19" ht="23.25" customHeight="1">
      <c r="A30" s="119" t="s">
        <v>53</v>
      </c>
      <c r="B30" s="122" t="s">
        <v>95</v>
      </c>
      <c r="C30" s="123"/>
      <c r="D30" s="123"/>
      <c r="E30" s="123"/>
      <c r="F30" s="123"/>
      <c r="G30" s="123"/>
      <c r="H30" s="123"/>
      <c r="I30" s="123"/>
      <c r="J30" s="124"/>
      <c r="L30" s="143"/>
      <c r="M30" s="143"/>
      <c r="N30" s="143"/>
      <c r="O30" s="143"/>
      <c r="P30" s="143"/>
      <c r="Q30" s="143"/>
      <c r="R30" s="55"/>
      <c r="S30" s="55"/>
    </row>
    <row r="31" spans="1:19" ht="23.25" customHeight="1">
      <c r="A31" s="120"/>
      <c r="B31" s="125"/>
      <c r="C31" s="126"/>
      <c r="D31" s="126"/>
      <c r="E31" s="126"/>
      <c r="F31" s="126"/>
      <c r="G31" s="126"/>
      <c r="H31" s="126"/>
      <c r="I31" s="126"/>
      <c r="J31" s="127"/>
      <c r="L31" s="143"/>
      <c r="M31" s="143"/>
      <c r="N31" s="143"/>
      <c r="O31" s="143"/>
      <c r="P31" s="143"/>
      <c r="Q31" s="143"/>
      <c r="S31" s="2"/>
    </row>
    <row r="32" spans="1:19" ht="23.25" customHeight="1">
      <c r="A32" s="120"/>
      <c r="B32" s="125"/>
      <c r="C32" s="126"/>
      <c r="D32" s="126"/>
      <c r="E32" s="126"/>
      <c r="F32" s="126"/>
      <c r="G32" s="126"/>
      <c r="H32" s="126"/>
      <c r="I32" s="126"/>
      <c r="J32" s="127"/>
      <c r="L32" s="143"/>
      <c r="M32" s="143"/>
      <c r="N32" s="143"/>
      <c r="O32" s="143"/>
      <c r="P32" s="143"/>
      <c r="Q32" s="143"/>
      <c r="S32" s="2"/>
    </row>
    <row r="33" spans="1:19" ht="23.25" customHeight="1">
      <c r="A33" s="120"/>
      <c r="B33" s="125"/>
      <c r="C33" s="126"/>
      <c r="D33" s="126"/>
      <c r="E33" s="126"/>
      <c r="F33" s="126"/>
      <c r="G33" s="126"/>
      <c r="H33" s="126"/>
      <c r="I33" s="126"/>
      <c r="J33" s="127"/>
      <c r="L33" s="18"/>
      <c r="M33" s="18"/>
      <c r="N33" s="18"/>
      <c r="O33" s="18"/>
      <c r="P33" s="18"/>
      <c r="S33" s="2"/>
    </row>
    <row r="34" spans="1:19" ht="23.25" customHeight="1">
      <c r="A34" s="120"/>
      <c r="B34" s="125"/>
      <c r="C34" s="126"/>
      <c r="D34" s="126"/>
      <c r="E34" s="126"/>
      <c r="F34" s="126"/>
      <c r="G34" s="126"/>
      <c r="H34" s="126"/>
      <c r="I34" s="126"/>
      <c r="J34" s="127"/>
      <c r="L34" s="58"/>
      <c r="M34" s="58"/>
      <c r="N34" s="58"/>
      <c r="O34" s="144"/>
      <c r="P34" s="144"/>
      <c r="Q34" s="59"/>
      <c r="S34" s="2"/>
    </row>
    <row r="35" spans="1:19" ht="41.25" customHeight="1">
      <c r="A35" s="121"/>
      <c r="B35" s="128"/>
      <c r="C35" s="129"/>
      <c r="D35" s="129"/>
      <c r="E35" s="129"/>
      <c r="F35" s="129"/>
      <c r="G35" s="129"/>
      <c r="H35" s="129"/>
      <c r="I35" s="129"/>
      <c r="J35" s="130"/>
      <c r="L35" s="60"/>
      <c r="M35" s="60"/>
      <c r="N35" s="60"/>
      <c r="O35" s="145"/>
      <c r="P35" s="145"/>
      <c r="Q35" s="61"/>
      <c r="S35" s="2"/>
    </row>
    <row r="36" spans="1:19" ht="21" customHeight="1">
      <c r="A36" s="119" t="s">
        <v>54</v>
      </c>
      <c r="B36" s="122" t="s">
        <v>193</v>
      </c>
      <c r="C36" s="123"/>
      <c r="D36" s="123"/>
      <c r="E36" s="123"/>
      <c r="F36" s="123"/>
      <c r="G36" s="123"/>
      <c r="H36" s="123"/>
      <c r="I36" s="123"/>
      <c r="J36" s="124"/>
      <c r="L36" s="62"/>
      <c r="M36" s="63"/>
      <c r="N36" s="62"/>
      <c r="O36" s="131"/>
      <c r="P36" s="131"/>
      <c r="Q36" s="64"/>
      <c r="R36" s="65"/>
      <c r="S36" s="2"/>
    </row>
    <row r="37" spans="1:19" ht="19.5" customHeight="1">
      <c r="A37" s="120"/>
      <c r="B37" s="125"/>
      <c r="C37" s="126"/>
      <c r="D37" s="126"/>
      <c r="E37" s="126"/>
      <c r="F37" s="126"/>
      <c r="G37" s="126"/>
      <c r="H37" s="126"/>
      <c r="I37" s="126"/>
      <c r="J37" s="127"/>
      <c r="L37" s="66"/>
      <c r="M37" s="67"/>
      <c r="N37" s="66"/>
      <c r="O37" s="132"/>
      <c r="P37" s="132"/>
      <c r="Q37" s="68"/>
      <c r="R37" s="69"/>
      <c r="S37" s="2"/>
    </row>
    <row r="38" spans="1:19" ht="19.5" customHeight="1">
      <c r="A38" s="120"/>
      <c r="B38" s="125"/>
      <c r="C38" s="126"/>
      <c r="D38" s="126"/>
      <c r="E38" s="126"/>
      <c r="F38" s="126"/>
      <c r="G38" s="126"/>
      <c r="H38" s="126"/>
      <c r="I38" s="126"/>
      <c r="J38" s="127"/>
      <c r="L38" s="70"/>
      <c r="M38" s="71"/>
      <c r="N38" s="70"/>
      <c r="O38" s="133"/>
      <c r="P38" s="133"/>
      <c r="Q38" s="72"/>
      <c r="R38" s="73"/>
      <c r="S38" s="2"/>
    </row>
    <row r="39" spans="1:19" ht="19.5" customHeight="1">
      <c r="A39" s="120"/>
      <c r="B39" s="125"/>
      <c r="C39" s="126"/>
      <c r="D39" s="126"/>
      <c r="E39" s="126"/>
      <c r="F39" s="126"/>
      <c r="G39" s="126"/>
      <c r="H39" s="126"/>
      <c r="I39" s="126"/>
      <c r="J39" s="127"/>
      <c r="L39" s="70"/>
      <c r="M39" s="71"/>
      <c r="N39" s="70"/>
      <c r="O39" s="70"/>
      <c r="P39" s="70"/>
      <c r="Q39" s="72"/>
      <c r="R39" s="73"/>
      <c r="S39" s="2"/>
    </row>
    <row r="40" spans="1:19" ht="19.5" customHeight="1">
      <c r="A40" s="121"/>
      <c r="B40" s="128"/>
      <c r="C40" s="129"/>
      <c r="D40" s="129"/>
      <c r="E40" s="129"/>
      <c r="F40" s="129"/>
      <c r="G40" s="129"/>
      <c r="H40" s="129"/>
      <c r="I40" s="129"/>
      <c r="J40" s="130"/>
      <c r="L40" s="70"/>
      <c r="M40" s="71"/>
      <c r="N40" s="70"/>
      <c r="O40" s="133"/>
      <c r="P40" s="133"/>
      <c r="Q40" s="72"/>
      <c r="R40" s="73"/>
      <c r="S40" s="2"/>
    </row>
    <row r="41" spans="1:19" ht="17.100000000000001" customHeight="1">
      <c r="A41" s="119" t="s">
        <v>75</v>
      </c>
      <c r="B41" s="220" t="s">
        <v>76</v>
      </c>
      <c r="C41" s="221"/>
      <c r="D41" s="84"/>
      <c r="E41" s="84"/>
      <c r="F41" s="84"/>
      <c r="G41" s="84"/>
      <c r="H41" s="84"/>
      <c r="I41" s="84"/>
      <c r="J41" s="85"/>
      <c r="L41" s="70"/>
      <c r="M41" s="71"/>
      <c r="N41" s="70"/>
      <c r="O41" s="70"/>
      <c r="P41" s="70"/>
      <c r="Q41" s="72"/>
      <c r="R41" s="73"/>
      <c r="S41" s="2"/>
    </row>
    <row r="42" spans="1:19" ht="19.5" customHeight="1">
      <c r="A42" s="120"/>
      <c r="B42" s="216" t="s">
        <v>77</v>
      </c>
      <c r="C42" s="217"/>
      <c r="D42" s="216" t="s">
        <v>78</v>
      </c>
      <c r="E42" s="217"/>
      <c r="F42" s="216" t="s">
        <v>79</v>
      </c>
      <c r="G42" s="217"/>
      <c r="H42" s="216" t="s">
        <v>80</v>
      </c>
      <c r="I42" s="217"/>
      <c r="J42" s="86" t="s">
        <v>81</v>
      </c>
      <c r="L42" s="70"/>
      <c r="M42" s="71"/>
      <c r="N42" s="70"/>
      <c r="O42" s="70"/>
      <c r="P42" s="70"/>
      <c r="Q42" s="72"/>
      <c r="R42" s="73"/>
      <c r="S42" s="2"/>
    </row>
    <row r="43" spans="1:19" ht="19.5" customHeight="1">
      <c r="A43" s="120"/>
      <c r="B43" s="218" t="s">
        <v>87</v>
      </c>
      <c r="C43" s="219"/>
      <c r="D43" s="218" t="s">
        <v>87</v>
      </c>
      <c r="E43" s="219"/>
      <c r="F43" s="218" t="s">
        <v>87</v>
      </c>
      <c r="G43" s="219"/>
      <c r="H43" s="218" t="s">
        <v>87</v>
      </c>
      <c r="I43" s="219"/>
      <c r="J43" s="90" t="s">
        <v>87</v>
      </c>
      <c r="L43" s="70"/>
      <c r="M43" s="71"/>
      <c r="N43" s="70"/>
      <c r="O43" s="70"/>
      <c r="P43" s="70"/>
      <c r="Q43" s="72"/>
      <c r="R43" s="73"/>
      <c r="S43" s="2"/>
    </row>
    <row r="44" spans="1:19" ht="19.5" customHeight="1">
      <c r="A44" s="121"/>
      <c r="B44" s="220" t="s">
        <v>142</v>
      </c>
      <c r="C44" s="221"/>
      <c r="D44" s="221"/>
      <c r="E44" s="221"/>
      <c r="F44" s="221"/>
      <c r="G44" s="221"/>
      <c r="H44" s="221"/>
      <c r="I44" s="221"/>
      <c r="J44" s="222"/>
      <c r="L44" s="70"/>
      <c r="M44" s="71"/>
      <c r="N44" s="70"/>
      <c r="O44" s="70"/>
      <c r="P44" s="70"/>
      <c r="Q44" s="72"/>
      <c r="R44" s="73"/>
      <c r="S44" s="2"/>
    </row>
    <row r="45" spans="1:19" ht="21" customHeight="1">
      <c r="A45" s="74" t="s">
        <v>56</v>
      </c>
      <c r="B45" s="105" t="s">
        <v>162</v>
      </c>
      <c r="C45" s="106"/>
      <c r="D45" s="106"/>
      <c r="E45" s="106"/>
      <c r="F45" s="106"/>
      <c r="G45" s="106"/>
      <c r="H45" s="106"/>
      <c r="I45" s="106"/>
      <c r="J45" s="107"/>
      <c r="S45" s="2"/>
    </row>
    <row r="46" spans="1:19" ht="19.5" customHeight="1">
      <c r="A46" s="108" t="s">
        <v>194</v>
      </c>
      <c r="B46" s="109"/>
      <c r="C46" s="109"/>
      <c r="D46" s="109"/>
      <c r="E46" s="109"/>
      <c r="F46" s="109"/>
      <c r="G46" s="109"/>
      <c r="H46" s="109"/>
      <c r="I46" s="109"/>
      <c r="J46" s="110"/>
      <c r="S46" s="3"/>
    </row>
    <row r="47" spans="1:19" s="75" customFormat="1" ht="23.25" customHeight="1">
      <c r="A47" s="111" t="s">
        <v>58</v>
      </c>
      <c r="B47" s="112"/>
      <c r="C47" s="112"/>
      <c r="D47" s="112"/>
      <c r="E47" s="112"/>
      <c r="F47" s="112" t="s">
        <v>59</v>
      </c>
      <c r="G47" s="112"/>
      <c r="H47" s="112"/>
      <c r="I47" s="112"/>
      <c r="J47" s="113"/>
      <c r="S47" s="41"/>
    </row>
    <row r="48" spans="1:19" ht="23.25" customHeight="1">
      <c r="A48" s="114" t="s">
        <v>60</v>
      </c>
      <c r="B48" s="115"/>
      <c r="C48" s="116" t="str">
        <f>A4</f>
        <v>㈜강구토건 대표 이진호</v>
      </c>
      <c r="D48" s="116"/>
      <c r="E48" s="116"/>
      <c r="F48" s="76" t="s">
        <v>61</v>
      </c>
      <c r="G48" s="117" t="s">
        <v>196</v>
      </c>
      <c r="H48" s="117"/>
      <c r="I48" s="117"/>
      <c r="J48" s="118"/>
      <c r="S48" s="3"/>
    </row>
    <row r="49" spans="1:19" ht="23.25" customHeight="1">
      <c r="A49" s="100" t="s">
        <v>62</v>
      </c>
      <c r="B49" s="101"/>
      <c r="C49" s="102" t="s">
        <v>84</v>
      </c>
      <c r="D49" s="102"/>
      <c r="E49" s="102"/>
      <c r="F49" s="77" t="s">
        <v>63</v>
      </c>
      <c r="G49" s="103"/>
      <c r="H49" s="103"/>
      <c r="I49" s="103"/>
      <c r="J49" s="104"/>
      <c r="S49" s="3"/>
    </row>
    <row r="50" spans="1:19" ht="23.25" customHeight="1">
      <c r="A50" s="100" t="s">
        <v>64</v>
      </c>
      <c r="B50" s="101"/>
      <c r="C50" s="103"/>
      <c r="D50" s="103"/>
      <c r="E50" s="103"/>
      <c r="F50" s="78" t="s">
        <v>65</v>
      </c>
      <c r="G50" s="103"/>
      <c r="H50" s="103"/>
      <c r="I50" s="103"/>
      <c r="J50" s="104"/>
      <c r="S50" s="3"/>
    </row>
    <row r="51" spans="1:19" ht="23.25" customHeight="1" thickBot="1">
      <c r="A51" s="95" t="s">
        <v>66</v>
      </c>
      <c r="B51" s="96"/>
      <c r="C51" s="97" t="s">
        <v>195</v>
      </c>
      <c r="D51" s="97"/>
      <c r="E51" s="97"/>
      <c r="F51" s="79" t="s">
        <v>67</v>
      </c>
      <c r="G51" s="98"/>
      <c r="H51" s="98"/>
      <c r="I51" s="98"/>
      <c r="J51" s="99"/>
      <c r="S51" s="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phoneticPr fontId="3" type="noConversion"/>
  <printOptions horizontalCentered="1"/>
  <pageMargins left="0.70866141732283472" right="0.70866141732283472" top="0.74803149606299213" bottom="0.74803149606299213" header="0.31496062992125984" footer="0.31496062992125984"/>
  <pageSetup paperSize="9" scale="64" orientation="portrait" r:id="rId1"/>
  <colBreaks count="1" manualBreakCount="1">
    <brk id="10" max="1048575" man="1"/>
  </col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S51"/>
  <sheetViews>
    <sheetView view="pageBreakPreview" zoomScaleNormal="100" zoomScaleSheetLayoutView="100" workbookViewId="0">
      <selection activeCell="G22" sqref="G22:H22"/>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96" t="s">
        <v>203</v>
      </c>
      <c r="B1" s="196"/>
      <c r="C1" s="196"/>
      <c r="D1" s="196"/>
      <c r="E1" s="196"/>
      <c r="F1" s="1"/>
      <c r="G1" s="1"/>
      <c r="H1" s="1"/>
      <c r="I1" s="1"/>
      <c r="J1" s="1"/>
      <c r="L1" s="197" t="s">
        <v>0</v>
      </c>
      <c r="M1" s="197"/>
      <c r="N1" s="197"/>
      <c r="O1" s="197"/>
      <c r="P1" s="197"/>
      <c r="Q1" s="197"/>
      <c r="S1" s="3"/>
    </row>
    <row r="2" spans="1:19" ht="27" customHeight="1">
      <c r="A2" s="198" t="s">
        <v>1</v>
      </c>
      <c r="B2" s="198"/>
      <c r="C2" s="198"/>
      <c r="D2" s="198"/>
      <c r="E2" s="198"/>
      <c r="F2" s="198"/>
      <c r="G2" s="198"/>
      <c r="H2" s="198"/>
      <c r="I2" s="198"/>
      <c r="J2" s="198"/>
      <c r="L2" s="197"/>
      <c r="M2" s="197"/>
      <c r="N2" s="197"/>
      <c r="O2" s="197"/>
      <c r="P2" s="197"/>
      <c r="Q2" s="197"/>
      <c r="S2" s="3"/>
    </row>
    <row r="3" spans="1:19" ht="6" customHeight="1" thickBot="1">
      <c r="A3" s="1"/>
      <c r="B3" s="1"/>
      <c r="C3" s="1"/>
      <c r="D3" s="1"/>
      <c r="E3" s="1"/>
      <c r="F3" s="1"/>
      <c r="G3" s="1"/>
      <c r="H3" s="1"/>
      <c r="I3" s="1"/>
      <c r="J3" s="1"/>
      <c r="K3" s="4"/>
      <c r="L3" s="199" t="s">
        <v>2</v>
      </c>
      <c r="M3" s="199"/>
      <c r="N3" s="199"/>
      <c r="O3" s="199"/>
      <c r="P3" s="199"/>
      <c r="S3" s="3"/>
    </row>
    <row r="4" spans="1:19" ht="17.25" customHeight="1">
      <c r="A4" s="200" t="s">
        <v>74</v>
      </c>
      <c r="B4" s="201"/>
      <c r="C4" s="202" t="s">
        <v>3</v>
      </c>
      <c r="D4" s="202"/>
      <c r="E4" s="88"/>
      <c r="F4" s="202" t="s">
        <v>5</v>
      </c>
      <c r="G4" s="202"/>
      <c r="H4" s="202"/>
      <c r="I4" s="202"/>
      <c r="J4" s="203"/>
      <c r="K4" s="5"/>
      <c r="L4" s="199"/>
      <c r="M4" s="199"/>
      <c r="N4" s="199"/>
      <c r="O4" s="199"/>
      <c r="P4" s="199"/>
      <c r="S4" s="3"/>
    </row>
    <row r="5" spans="1:19" ht="15" customHeight="1" thickBot="1">
      <c r="A5" s="204" t="s">
        <v>6</v>
      </c>
      <c r="B5" s="205"/>
      <c r="C5" s="205"/>
      <c r="D5" s="205"/>
      <c r="E5" s="205"/>
      <c r="F5" s="205"/>
      <c r="G5" s="205"/>
      <c r="H5" s="205"/>
      <c r="I5" s="205"/>
      <c r="J5" s="206"/>
      <c r="K5" s="5"/>
      <c r="L5" s="6" t="s">
        <v>2</v>
      </c>
      <c r="M5" s="7"/>
      <c r="N5" s="8"/>
      <c r="O5" s="9"/>
      <c r="P5" s="9"/>
      <c r="S5" s="3"/>
    </row>
    <row r="6" spans="1:19" ht="21.75" customHeight="1" thickBot="1">
      <c r="A6" s="10" t="s">
        <v>7</v>
      </c>
      <c r="B6" s="207"/>
      <c r="C6" s="208"/>
      <c r="D6" s="208"/>
      <c r="E6" s="209"/>
      <c r="F6" s="210" t="s">
        <v>8</v>
      </c>
      <c r="G6" s="211"/>
      <c r="H6" s="212"/>
      <c r="I6" s="213"/>
      <c r="J6" s="214"/>
      <c r="L6" s="11" t="s">
        <v>9</v>
      </c>
      <c r="M6" s="12"/>
      <c r="N6" s="13" t="s">
        <v>10</v>
      </c>
      <c r="O6" s="14">
        <v>8</v>
      </c>
      <c r="P6" s="15" t="s">
        <v>11</v>
      </c>
      <c r="Q6" s="16">
        <v>6</v>
      </c>
      <c r="S6" s="3"/>
    </row>
    <row r="7" spans="1:19" ht="21.75" customHeight="1">
      <c r="A7" s="17" t="s">
        <v>12</v>
      </c>
      <c r="B7" s="170"/>
      <c r="C7" s="170"/>
      <c r="D7" s="170"/>
      <c r="E7" s="170"/>
      <c r="F7" s="215" t="s">
        <v>13</v>
      </c>
      <c r="G7" s="215"/>
      <c r="H7" s="170"/>
      <c r="I7" s="170"/>
      <c r="J7" s="171"/>
      <c r="L7" s="18"/>
      <c r="M7" s="18"/>
      <c r="N7" s="18"/>
      <c r="O7" s="18"/>
      <c r="P7" s="18"/>
      <c r="S7" s="3"/>
    </row>
    <row r="8" spans="1:19" ht="18" customHeight="1" thickBot="1">
      <c r="A8" s="141" t="s">
        <v>15</v>
      </c>
      <c r="B8" s="182" t="s">
        <v>201</v>
      </c>
      <c r="C8" s="183"/>
      <c r="D8" s="184" t="s">
        <v>202</v>
      </c>
      <c r="E8" s="183"/>
      <c r="F8" s="19" t="s">
        <v>16</v>
      </c>
      <c r="G8" s="185" t="s">
        <v>17</v>
      </c>
      <c r="H8" s="185"/>
      <c r="I8" s="185"/>
      <c r="J8" s="186"/>
      <c r="L8" s="8"/>
      <c r="M8" s="8"/>
      <c r="N8" s="8"/>
      <c r="O8" s="8"/>
      <c r="P8" s="8"/>
      <c r="S8" s="3"/>
    </row>
    <row r="9" spans="1:19" ht="12" customHeight="1">
      <c r="A9" s="134"/>
      <c r="B9" s="187" t="s">
        <v>69</v>
      </c>
      <c r="C9" s="188"/>
      <c r="D9" s="188"/>
      <c r="E9" s="188"/>
      <c r="F9" s="188"/>
      <c r="G9" s="188"/>
      <c r="H9" s="188"/>
      <c r="I9" s="188"/>
      <c r="J9" s="189"/>
      <c r="L9" s="20" t="s">
        <v>18</v>
      </c>
      <c r="M9" s="21" t="s">
        <v>19</v>
      </c>
      <c r="N9" s="21" t="s">
        <v>20</v>
      </c>
      <c r="O9" s="21" t="s">
        <v>21</v>
      </c>
      <c r="P9" s="21" t="s">
        <v>22</v>
      </c>
      <c r="Q9" s="22" t="s">
        <v>23</v>
      </c>
      <c r="S9" s="3"/>
    </row>
    <row r="10" spans="1:19" ht="30" customHeight="1">
      <c r="A10" s="142"/>
      <c r="B10" s="190"/>
      <c r="C10" s="191"/>
      <c r="D10" s="191"/>
      <c r="E10" s="191"/>
      <c r="F10" s="191"/>
      <c r="G10" s="191"/>
      <c r="H10" s="191"/>
      <c r="I10" s="191"/>
      <c r="J10" s="192"/>
      <c r="K10" s="23" t="s">
        <v>14</v>
      </c>
      <c r="L10" s="24" t="s">
        <v>24</v>
      </c>
      <c r="M10" s="25">
        <v>48</v>
      </c>
      <c r="N10" s="26">
        <v>1</v>
      </c>
      <c r="O10" s="27">
        <v>4.34</v>
      </c>
      <c r="P10" s="28">
        <f>M10*O10</f>
        <v>208.32</v>
      </c>
      <c r="Q10" s="29">
        <f>P10/P15</f>
        <v>0.70060266896254841</v>
      </c>
      <c r="S10" s="3"/>
    </row>
    <row r="11" spans="1:19" ht="19.5" customHeight="1">
      <c r="A11" s="141" t="s">
        <v>25</v>
      </c>
      <c r="B11" s="172" t="s">
        <v>26</v>
      </c>
      <c r="C11" s="173"/>
      <c r="D11" s="173"/>
      <c r="E11" s="30">
        <f>D24</f>
        <v>112096.42703400775</v>
      </c>
      <c r="F11" s="31" t="s">
        <v>27</v>
      </c>
      <c r="G11" s="32">
        <f>E11/8</f>
        <v>14012.053379250969</v>
      </c>
      <c r="H11" s="174" t="s">
        <v>28</v>
      </c>
      <c r="I11" s="174"/>
      <c r="J11" s="175"/>
      <c r="L11" s="24" t="s">
        <v>29</v>
      </c>
      <c r="M11" s="25">
        <v>9.6</v>
      </c>
      <c r="N11" s="26">
        <v>1</v>
      </c>
      <c r="O11" s="27">
        <v>4.34</v>
      </c>
      <c r="P11" s="28">
        <f>M11*O11</f>
        <v>41.663999999999994</v>
      </c>
      <c r="Q11" s="33">
        <f>P11/P15</f>
        <v>0.14012053379250966</v>
      </c>
      <c r="S11" s="3"/>
    </row>
    <row r="12" spans="1:19" ht="17.25" customHeight="1">
      <c r="A12" s="134"/>
      <c r="B12" s="176" t="s">
        <v>30</v>
      </c>
      <c r="C12" s="177"/>
      <c r="D12" s="177"/>
      <c r="E12" s="177"/>
      <c r="F12" s="177"/>
      <c r="G12" s="177"/>
      <c r="H12" s="177"/>
      <c r="I12" s="177"/>
      <c r="J12" s="178"/>
      <c r="L12" s="24" t="s">
        <v>31</v>
      </c>
      <c r="M12" s="25">
        <v>12</v>
      </c>
      <c r="N12" s="26">
        <v>1</v>
      </c>
      <c r="O12" s="27">
        <v>1</v>
      </c>
      <c r="P12" s="28">
        <f>M12*N12*O12</f>
        <v>12</v>
      </c>
      <c r="Q12" s="33">
        <f>P12/P15</f>
        <v>4.0357296599225143E-2</v>
      </c>
      <c r="R12" s="227"/>
      <c r="S12" s="228"/>
    </row>
    <row r="13" spans="1:19" ht="17.25" customHeight="1">
      <c r="A13" s="134"/>
      <c r="B13" s="176"/>
      <c r="C13" s="177"/>
      <c r="D13" s="177"/>
      <c r="E13" s="177"/>
      <c r="F13" s="177"/>
      <c r="G13" s="177"/>
      <c r="H13" s="177"/>
      <c r="I13" s="177"/>
      <c r="J13" s="178"/>
      <c r="L13" s="24" t="s">
        <v>32</v>
      </c>
      <c r="M13" s="25">
        <v>8</v>
      </c>
      <c r="N13" s="26">
        <v>0.5</v>
      </c>
      <c r="O13" s="27">
        <v>4.34</v>
      </c>
      <c r="P13" s="28">
        <f>M13*N13*O13</f>
        <v>17.36</v>
      </c>
      <c r="Q13" s="34">
        <f>P13/P15</f>
        <v>5.8383555746879034E-2</v>
      </c>
      <c r="S13" s="3"/>
    </row>
    <row r="14" spans="1:19" ht="17.25" customHeight="1">
      <c r="A14" s="134"/>
      <c r="B14" s="176"/>
      <c r="C14" s="177"/>
      <c r="D14" s="177"/>
      <c r="E14" s="177"/>
      <c r="F14" s="177"/>
      <c r="G14" s="177"/>
      <c r="H14" s="177"/>
      <c r="I14" s="177"/>
      <c r="J14" s="178"/>
      <c r="L14" s="24" t="s">
        <v>33</v>
      </c>
      <c r="M14" s="27">
        <v>0</v>
      </c>
      <c r="N14" s="26"/>
      <c r="O14" s="35">
        <v>0</v>
      </c>
      <c r="P14" s="28">
        <v>18</v>
      </c>
      <c r="Q14" s="34">
        <f>P14/P15</f>
        <v>6.0535944898837714E-2</v>
      </c>
      <c r="S14" s="3"/>
    </row>
    <row r="15" spans="1:19" ht="13.5" customHeight="1" thickBot="1">
      <c r="A15" s="134"/>
      <c r="B15" s="125" t="s">
        <v>82</v>
      </c>
      <c r="C15" s="126"/>
      <c r="D15" s="126"/>
      <c r="E15" s="126"/>
      <c r="F15" s="126"/>
      <c r="G15" s="126"/>
      <c r="H15" s="126"/>
      <c r="I15" s="126"/>
      <c r="J15" s="127"/>
      <c r="L15" s="36" t="s">
        <v>34</v>
      </c>
      <c r="M15" s="37"/>
      <c r="N15" s="37"/>
      <c r="O15" s="37">
        <v>0</v>
      </c>
      <c r="P15" s="38">
        <f>SUM(P10:P14)</f>
        <v>297.34399999999999</v>
      </c>
      <c r="Q15" s="39">
        <f>SUM(Q10:Q14)</f>
        <v>1</v>
      </c>
      <c r="S15" s="3"/>
    </row>
    <row r="16" spans="1:19" ht="13.5" customHeight="1">
      <c r="A16" s="134"/>
      <c r="B16" s="125"/>
      <c r="C16" s="126"/>
      <c r="D16" s="126"/>
      <c r="E16" s="126"/>
      <c r="F16" s="126"/>
      <c r="G16" s="126"/>
      <c r="H16" s="126"/>
      <c r="I16" s="126"/>
      <c r="J16" s="127"/>
      <c r="S16" s="3"/>
    </row>
    <row r="17" spans="1:19" ht="21" customHeight="1">
      <c r="A17" s="134"/>
      <c r="B17" s="125" t="s">
        <v>35</v>
      </c>
      <c r="C17" s="126"/>
      <c r="D17" s="126"/>
      <c r="E17" s="126"/>
      <c r="F17" s="126"/>
      <c r="G17" s="126"/>
      <c r="H17" s="126"/>
      <c r="I17" s="126"/>
      <c r="J17" s="127"/>
      <c r="L17" s="162"/>
      <c r="M17" s="163"/>
      <c r="N17" s="40" t="s">
        <v>86</v>
      </c>
      <c r="O17" s="41"/>
      <c r="P17" s="41"/>
      <c r="Q17" s="42">
        <v>9620</v>
      </c>
      <c r="S17" s="3"/>
    </row>
    <row r="18" spans="1:19" ht="15.75" customHeight="1">
      <c r="A18" s="134"/>
      <c r="B18" s="164" t="s">
        <v>97</v>
      </c>
      <c r="C18" s="165"/>
      <c r="D18" s="165"/>
      <c r="E18" s="165"/>
      <c r="F18" s="165"/>
      <c r="G18" s="43">
        <v>160000</v>
      </c>
      <c r="H18" s="166" t="s">
        <v>37</v>
      </c>
      <c r="I18" s="166"/>
      <c r="J18" s="167"/>
      <c r="L18" s="162"/>
      <c r="M18" s="163"/>
      <c r="P18" s="44"/>
      <c r="S18" s="3"/>
    </row>
    <row r="19" spans="1:19" ht="15.75" customHeight="1">
      <c r="A19" s="134"/>
      <c r="B19" s="179" t="s">
        <v>38</v>
      </c>
      <c r="C19" s="180"/>
      <c r="D19" s="180"/>
      <c r="E19" s="180"/>
      <c r="F19" s="180"/>
      <c r="G19" s="180"/>
      <c r="H19" s="180"/>
      <c r="I19" s="180"/>
      <c r="J19" s="181"/>
      <c r="L19" s="45" t="s">
        <v>39</v>
      </c>
      <c r="M19" s="45"/>
      <c r="N19" s="45"/>
      <c r="O19" s="45"/>
      <c r="P19" s="45"/>
      <c r="Q19" s="46"/>
      <c r="S19" s="3"/>
    </row>
    <row r="20" spans="1:19" ht="15.75" customHeight="1">
      <c r="A20" s="82"/>
      <c r="B20" s="179" t="s">
        <v>73</v>
      </c>
      <c r="C20" s="180"/>
      <c r="D20" s="180"/>
      <c r="E20" s="180"/>
      <c r="F20" s="180"/>
      <c r="G20" s="180"/>
      <c r="H20" s="180"/>
      <c r="I20" s="180"/>
      <c r="J20" s="181"/>
      <c r="L20" s="45" t="s">
        <v>44</v>
      </c>
      <c r="M20" s="45"/>
      <c r="N20" s="45"/>
      <c r="O20" s="45"/>
      <c r="P20" s="45"/>
      <c r="Q20" s="46"/>
      <c r="S20" s="3"/>
    </row>
    <row r="21" spans="1:19" ht="15.75" customHeight="1">
      <c r="A21" s="82"/>
      <c r="B21" s="193" t="s">
        <v>72</v>
      </c>
      <c r="C21" s="194"/>
      <c r="D21" s="194"/>
      <c r="E21" s="194"/>
      <c r="F21" s="194"/>
      <c r="G21" s="194"/>
      <c r="H21" s="194"/>
      <c r="I21" s="194"/>
      <c r="J21" s="195"/>
      <c r="L21" s="45" t="s">
        <v>46</v>
      </c>
      <c r="M21" s="45"/>
      <c r="N21" s="45"/>
      <c r="O21" s="45"/>
      <c r="P21" s="45"/>
      <c r="Q21" s="46"/>
      <c r="S21" s="3"/>
    </row>
    <row r="22" spans="1:19" ht="18.75" customHeight="1">
      <c r="A22" s="119" t="s">
        <v>40</v>
      </c>
      <c r="B22" s="146" t="s">
        <v>41</v>
      </c>
      <c r="C22" s="147"/>
      <c r="D22" s="47" t="s">
        <v>24</v>
      </c>
      <c r="E22" s="47" t="s">
        <v>42</v>
      </c>
      <c r="F22" s="47" t="s">
        <v>31</v>
      </c>
      <c r="G22" s="148" t="s">
        <v>43</v>
      </c>
      <c r="H22" s="149"/>
      <c r="I22" s="148" t="s">
        <v>33</v>
      </c>
      <c r="J22" s="150"/>
      <c r="L22" s="45" t="s">
        <v>48</v>
      </c>
      <c r="M22" s="45"/>
      <c r="N22" s="45"/>
      <c r="O22" s="45"/>
      <c r="P22" s="45"/>
      <c r="Q22" s="46"/>
      <c r="R22" s="45"/>
      <c r="S22" s="2"/>
    </row>
    <row r="23" spans="1:19" ht="18.75" customHeight="1">
      <c r="A23" s="120"/>
      <c r="B23" s="151" t="s">
        <v>45</v>
      </c>
      <c r="C23" s="152"/>
      <c r="D23" s="48">
        <f>Q10</f>
        <v>0.70060266896254841</v>
      </c>
      <c r="E23" s="48">
        <f>Q11</f>
        <v>0.14012053379250966</v>
      </c>
      <c r="F23" s="48">
        <f>Q12</f>
        <v>4.0357296599225143E-2</v>
      </c>
      <c r="G23" s="153">
        <f>Q13</f>
        <v>5.8383555746879034E-2</v>
      </c>
      <c r="H23" s="154"/>
      <c r="I23" s="153">
        <f>Q14</f>
        <v>6.0535944898837714E-2</v>
      </c>
      <c r="J23" s="155"/>
      <c r="L23" s="45"/>
      <c r="M23" s="45"/>
      <c r="N23" s="45"/>
      <c r="O23" s="45"/>
      <c r="P23" s="45"/>
      <c r="Q23" s="45"/>
      <c r="R23" s="45"/>
      <c r="S23" s="2"/>
    </row>
    <row r="24" spans="1:19" ht="18.75" customHeight="1">
      <c r="A24" s="121"/>
      <c r="B24" s="49" t="s">
        <v>47</v>
      </c>
      <c r="C24" s="50">
        <f>G11</f>
        <v>14012.053379250969</v>
      </c>
      <c r="D24" s="51">
        <f>G18*$D$23</f>
        <v>112096.42703400775</v>
      </c>
      <c r="E24" s="52">
        <f>G18*$E$23</f>
        <v>22419.285406801544</v>
      </c>
      <c r="F24" s="51">
        <f>G18*$F$23</f>
        <v>6457.1674558760224</v>
      </c>
      <c r="G24" s="156">
        <f>G18*$G$23</f>
        <v>9341.3689195006464</v>
      </c>
      <c r="H24" s="157"/>
      <c r="I24" s="158">
        <f>G18*$I$23</f>
        <v>9685.7511838140344</v>
      </c>
      <c r="J24" s="159"/>
      <c r="L24" s="45"/>
      <c r="M24" s="45"/>
      <c r="N24" s="45"/>
      <c r="O24" s="45"/>
      <c r="P24" s="45"/>
      <c r="Q24" s="45"/>
      <c r="R24" s="45"/>
      <c r="S24" s="2"/>
    </row>
    <row r="25" spans="1:19" ht="54.75" customHeight="1">
      <c r="A25" s="119" t="s">
        <v>49</v>
      </c>
      <c r="B25" s="135" t="s">
        <v>99</v>
      </c>
      <c r="C25" s="136"/>
      <c r="D25" s="136"/>
      <c r="E25" s="136"/>
      <c r="F25" s="136"/>
      <c r="G25" s="136"/>
      <c r="H25" s="136"/>
      <c r="I25" s="136"/>
      <c r="J25" s="137"/>
      <c r="L25" s="45" t="s">
        <v>14</v>
      </c>
      <c r="M25" s="45"/>
      <c r="N25" s="45"/>
      <c r="O25" s="45"/>
      <c r="P25" s="45"/>
      <c r="Q25" s="46"/>
      <c r="S25" s="2"/>
    </row>
    <row r="26" spans="1:19" ht="66.75" customHeight="1">
      <c r="A26" s="134"/>
      <c r="B26" s="138"/>
      <c r="C26" s="139"/>
      <c r="D26" s="139"/>
      <c r="E26" s="139"/>
      <c r="F26" s="139"/>
      <c r="G26" s="139"/>
      <c r="H26" s="139"/>
      <c r="I26" s="139"/>
      <c r="J26" s="140"/>
      <c r="L26" s="45" t="s">
        <v>14</v>
      </c>
      <c r="M26" s="45"/>
      <c r="N26" s="45"/>
      <c r="O26" s="45"/>
      <c r="P26" s="45"/>
      <c r="Q26" s="46"/>
      <c r="S26" s="2"/>
    </row>
    <row r="27" spans="1:19" ht="27.75" customHeight="1">
      <c r="A27" s="141" t="s">
        <v>50</v>
      </c>
      <c r="B27" s="122" t="s">
        <v>96</v>
      </c>
      <c r="C27" s="123"/>
      <c r="D27" s="123"/>
      <c r="E27" s="123"/>
      <c r="F27" s="123"/>
      <c r="G27" s="123"/>
      <c r="H27" s="123"/>
      <c r="I27" s="123"/>
      <c r="J27" s="124"/>
      <c r="L27" s="3">
        <f>C24*8</f>
        <v>112096.42703400775</v>
      </c>
      <c r="M27" s="53">
        <f>E24*5</f>
        <v>112096.42703400772</v>
      </c>
      <c r="N27" s="45"/>
      <c r="O27" s="53"/>
      <c r="P27" s="54"/>
      <c r="Q27" s="53"/>
      <c r="R27" s="55"/>
      <c r="S27" s="56"/>
    </row>
    <row r="28" spans="1:19" ht="40.5" customHeight="1">
      <c r="A28" s="142"/>
      <c r="B28" s="128"/>
      <c r="C28" s="129"/>
      <c r="D28" s="129"/>
      <c r="E28" s="129"/>
      <c r="F28" s="129"/>
      <c r="G28" s="129"/>
      <c r="H28" s="129"/>
      <c r="I28" s="129"/>
      <c r="J28" s="130"/>
      <c r="L28" s="3"/>
      <c r="M28" s="54"/>
      <c r="R28" s="55"/>
      <c r="S28" s="56"/>
    </row>
    <row r="29" spans="1:19" ht="40.5" customHeight="1">
      <c r="A29" s="57" t="s">
        <v>51</v>
      </c>
      <c r="B29" s="122" t="s">
        <v>98</v>
      </c>
      <c r="C29" s="123"/>
      <c r="D29" s="123"/>
      <c r="E29" s="123"/>
      <c r="F29" s="123"/>
      <c r="G29" s="123"/>
      <c r="H29" s="123"/>
      <c r="I29" s="123"/>
      <c r="J29" s="124"/>
      <c r="L29" s="143" t="s">
        <v>52</v>
      </c>
      <c r="M29" s="143"/>
      <c r="N29" s="143"/>
      <c r="O29" s="143"/>
      <c r="P29" s="143"/>
      <c r="Q29" s="143"/>
      <c r="R29" s="55"/>
      <c r="S29" s="56"/>
    </row>
    <row r="30" spans="1:19" ht="23.25" customHeight="1">
      <c r="A30" s="119" t="s">
        <v>53</v>
      </c>
      <c r="B30" s="122" t="s">
        <v>95</v>
      </c>
      <c r="C30" s="123"/>
      <c r="D30" s="123"/>
      <c r="E30" s="123"/>
      <c r="F30" s="123"/>
      <c r="G30" s="123"/>
      <c r="H30" s="123"/>
      <c r="I30" s="123"/>
      <c r="J30" s="124"/>
      <c r="L30" s="143"/>
      <c r="M30" s="143"/>
      <c r="N30" s="143"/>
      <c r="O30" s="143"/>
      <c r="P30" s="143"/>
      <c r="Q30" s="143"/>
      <c r="R30" s="55"/>
      <c r="S30" s="55"/>
    </row>
    <row r="31" spans="1:19" ht="23.25" customHeight="1">
      <c r="A31" s="120"/>
      <c r="B31" s="125"/>
      <c r="C31" s="126"/>
      <c r="D31" s="126"/>
      <c r="E31" s="126"/>
      <c r="F31" s="126"/>
      <c r="G31" s="126"/>
      <c r="H31" s="126"/>
      <c r="I31" s="126"/>
      <c r="J31" s="127"/>
      <c r="L31" s="143"/>
      <c r="M31" s="143"/>
      <c r="N31" s="143"/>
      <c r="O31" s="143"/>
      <c r="P31" s="143"/>
      <c r="Q31" s="143"/>
      <c r="S31" s="2"/>
    </row>
    <row r="32" spans="1:19" ht="23.25" customHeight="1">
      <c r="A32" s="120"/>
      <c r="B32" s="125"/>
      <c r="C32" s="126"/>
      <c r="D32" s="126"/>
      <c r="E32" s="126"/>
      <c r="F32" s="126"/>
      <c r="G32" s="126"/>
      <c r="H32" s="126"/>
      <c r="I32" s="126"/>
      <c r="J32" s="127"/>
      <c r="L32" s="143"/>
      <c r="M32" s="143"/>
      <c r="N32" s="143"/>
      <c r="O32" s="143"/>
      <c r="P32" s="143"/>
      <c r="Q32" s="143"/>
      <c r="S32" s="2"/>
    </row>
    <row r="33" spans="1:19" ht="23.25" customHeight="1">
      <c r="A33" s="120"/>
      <c r="B33" s="125"/>
      <c r="C33" s="126"/>
      <c r="D33" s="126"/>
      <c r="E33" s="126"/>
      <c r="F33" s="126"/>
      <c r="G33" s="126"/>
      <c r="H33" s="126"/>
      <c r="I33" s="126"/>
      <c r="J33" s="127"/>
      <c r="L33" s="18"/>
      <c r="M33" s="18"/>
      <c r="N33" s="18"/>
      <c r="O33" s="18"/>
      <c r="P33" s="18"/>
      <c r="S33" s="2"/>
    </row>
    <row r="34" spans="1:19" ht="23.25" customHeight="1">
      <c r="A34" s="120"/>
      <c r="B34" s="125"/>
      <c r="C34" s="126"/>
      <c r="D34" s="126"/>
      <c r="E34" s="126"/>
      <c r="F34" s="126"/>
      <c r="G34" s="126"/>
      <c r="H34" s="126"/>
      <c r="I34" s="126"/>
      <c r="J34" s="127"/>
      <c r="L34" s="58"/>
      <c r="M34" s="58"/>
      <c r="N34" s="58"/>
      <c r="O34" s="144"/>
      <c r="P34" s="144"/>
      <c r="Q34" s="59"/>
      <c r="S34" s="2"/>
    </row>
    <row r="35" spans="1:19" ht="46.5" customHeight="1">
      <c r="A35" s="121"/>
      <c r="B35" s="128"/>
      <c r="C35" s="129"/>
      <c r="D35" s="129"/>
      <c r="E35" s="129"/>
      <c r="F35" s="129"/>
      <c r="G35" s="129"/>
      <c r="H35" s="129"/>
      <c r="I35" s="129"/>
      <c r="J35" s="130"/>
      <c r="L35" s="60"/>
      <c r="M35" s="60"/>
      <c r="N35" s="60"/>
      <c r="O35" s="145"/>
      <c r="P35" s="145"/>
      <c r="Q35" s="61"/>
      <c r="S35" s="2"/>
    </row>
    <row r="36" spans="1:19" ht="21" customHeight="1">
      <c r="A36" s="119" t="s">
        <v>54</v>
      </c>
      <c r="B36" s="122" t="s">
        <v>55</v>
      </c>
      <c r="C36" s="123"/>
      <c r="D36" s="123"/>
      <c r="E36" s="123"/>
      <c r="F36" s="123"/>
      <c r="G36" s="123"/>
      <c r="H36" s="123"/>
      <c r="I36" s="123"/>
      <c r="J36" s="124"/>
      <c r="L36" s="62"/>
      <c r="M36" s="63"/>
      <c r="N36" s="62"/>
      <c r="O36" s="131"/>
      <c r="P36" s="131"/>
      <c r="Q36" s="64"/>
      <c r="R36" s="65"/>
      <c r="S36" s="2"/>
    </row>
    <row r="37" spans="1:19" ht="19.5" customHeight="1">
      <c r="A37" s="120"/>
      <c r="B37" s="125"/>
      <c r="C37" s="126"/>
      <c r="D37" s="126"/>
      <c r="E37" s="126"/>
      <c r="F37" s="126"/>
      <c r="G37" s="126"/>
      <c r="H37" s="126"/>
      <c r="I37" s="126"/>
      <c r="J37" s="127"/>
      <c r="L37" s="66"/>
      <c r="M37" s="67"/>
      <c r="N37" s="66"/>
      <c r="O37" s="132"/>
      <c r="P37" s="132"/>
      <c r="Q37" s="68"/>
      <c r="R37" s="69"/>
      <c r="S37" s="2"/>
    </row>
    <row r="38" spans="1:19" ht="19.5" customHeight="1">
      <c r="A38" s="120"/>
      <c r="B38" s="125"/>
      <c r="C38" s="126"/>
      <c r="D38" s="126"/>
      <c r="E38" s="126"/>
      <c r="F38" s="126"/>
      <c r="G38" s="126"/>
      <c r="H38" s="126"/>
      <c r="I38" s="126"/>
      <c r="J38" s="127"/>
      <c r="L38" s="70"/>
      <c r="M38" s="71"/>
      <c r="N38" s="70"/>
      <c r="O38" s="133"/>
      <c r="P38" s="133"/>
      <c r="Q38" s="72"/>
      <c r="R38" s="73"/>
      <c r="S38" s="2"/>
    </row>
    <row r="39" spans="1:19" ht="19.5" customHeight="1">
      <c r="A39" s="120"/>
      <c r="B39" s="125"/>
      <c r="C39" s="126"/>
      <c r="D39" s="126"/>
      <c r="E39" s="126"/>
      <c r="F39" s="126"/>
      <c r="G39" s="126"/>
      <c r="H39" s="126"/>
      <c r="I39" s="126"/>
      <c r="J39" s="127"/>
      <c r="L39" s="70"/>
      <c r="M39" s="71"/>
      <c r="N39" s="70"/>
      <c r="O39" s="70"/>
      <c r="P39" s="70"/>
      <c r="Q39" s="72"/>
      <c r="R39" s="73"/>
      <c r="S39" s="2"/>
    </row>
    <row r="40" spans="1:19" ht="19.5" customHeight="1">
      <c r="A40" s="121"/>
      <c r="B40" s="128"/>
      <c r="C40" s="129"/>
      <c r="D40" s="129"/>
      <c r="E40" s="129"/>
      <c r="F40" s="129"/>
      <c r="G40" s="129"/>
      <c r="H40" s="129"/>
      <c r="I40" s="129"/>
      <c r="J40" s="130"/>
      <c r="L40" s="70"/>
      <c r="M40" s="71"/>
      <c r="N40" s="70"/>
      <c r="O40" s="133"/>
      <c r="P40" s="133"/>
      <c r="Q40" s="72"/>
      <c r="R40" s="73"/>
      <c r="S40" s="2"/>
    </row>
    <row r="41" spans="1:19" ht="17.100000000000001" customHeight="1">
      <c r="A41" s="119" t="s">
        <v>75</v>
      </c>
      <c r="B41" s="220" t="s">
        <v>76</v>
      </c>
      <c r="C41" s="221"/>
      <c r="D41" s="84"/>
      <c r="E41" s="84"/>
      <c r="F41" s="84"/>
      <c r="G41" s="84"/>
      <c r="H41" s="84"/>
      <c r="I41" s="84"/>
      <c r="J41" s="85"/>
      <c r="L41" s="70"/>
      <c r="M41" s="71"/>
      <c r="N41" s="70"/>
      <c r="O41" s="70"/>
      <c r="P41" s="70"/>
      <c r="Q41" s="72"/>
      <c r="R41" s="73"/>
      <c r="S41" s="2"/>
    </row>
    <row r="42" spans="1:19" ht="19.5" customHeight="1">
      <c r="A42" s="120"/>
      <c r="B42" s="216" t="s">
        <v>77</v>
      </c>
      <c r="C42" s="217"/>
      <c r="D42" s="216" t="s">
        <v>78</v>
      </c>
      <c r="E42" s="217"/>
      <c r="F42" s="216" t="s">
        <v>79</v>
      </c>
      <c r="G42" s="217"/>
      <c r="H42" s="216" t="s">
        <v>80</v>
      </c>
      <c r="I42" s="217"/>
      <c r="J42" s="86" t="s">
        <v>81</v>
      </c>
      <c r="L42" s="70"/>
      <c r="M42" s="71"/>
      <c r="N42" s="70"/>
      <c r="O42" s="70"/>
      <c r="P42" s="70"/>
      <c r="Q42" s="72"/>
      <c r="R42" s="73"/>
      <c r="S42" s="2"/>
    </row>
    <row r="43" spans="1:19" ht="19.5" customHeight="1">
      <c r="A43" s="120"/>
      <c r="B43" s="218" t="s">
        <v>87</v>
      </c>
      <c r="C43" s="219"/>
      <c r="D43" s="218" t="s">
        <v>87</v>
      </c>
      <c r="E43" s="219"/>
      <c r="F43" s="218" t="s">
        <v>87</v>
      </c>
      <c r="G43" s="219"/>
      <c r="H43" s="218" t="s">
        <v>87</v>
      </c>
      <c r="I43" s="219"/>
      <c r="J43" s="90" t="s">
        <v>87</v>
      </c>
      <c r="L43" s="70"/>
      <c r="M43" s="71"/>
      <c r="N43" s="70"/>
      <c r="O43" s="70"/>
      <c r="P43" s="70"/>
      <c r="Q43" s="72"/>
      <c r="R43" s="73"/>
      <c r="S43" s="2"/>
    </row>
    <row r="44" spans="1:19" ht="19.5" customHeight="1">
      <c r="A44" s="121"/>
      <c r="B44" s="220" t="s">
        <v>83</v>
      </c>
      <c r="C44" s="221"/>
      <c r="D44" s="221"/>
      <c r="E44" s="221"/>
      <c r="F44" s="221"/>
      <c r="G44" s="221"/>
      <c r="H44" s="221"/>
      <c r="I44" s="221"/>
      <c r="J44" s="222"/>
      <c r="L44" s="70"/>
      <c r="M44" s="71"/>
      <c r="N44" s="70"/>
      <c r="O44" s="70"/>
      <c r="P44" s="70"/>
      <c r="Q44" s="72"/>
      <c r="R44" s="73"/>
      <c r="S44" s="2"/>
    </row>
    <row r="45" spans="1:19" ht="21" customHeight="1">
      <c r="A45" s="74" t="s">
        <v>56</v>
      </c>
      <c r="B45" s="105" t="s">
        <v>57</v>
      </c>
      <c r="C45" s="106"/>
      <c r="D45" s="106"/>
      <c r="E45" s="106"/>
      <c r="F45" s="106"/>
      <c r="G45" s="106"/>
      <c r="H45" s="106"/>
      <c r="I45" s="106"/>
      <c r="J45" s="107"/>
      <c r="S45" s="2"/>
    </row>
    <row r="46" spans="1:19" ht="19.5" customHeight="1">
      <c r="A46" s="108" t="s">
        <v>199</v>
      </c>
      <c r="B46" s="109"/>
      <c r="C46" s="109"/>
      <c r="D46" s="109"/>
      <c r="E46" s="109"/>
      <c r="F46" s="109"/>
      <c r="G46" s="109"/>
      <c r="H46" s="109"/>
      <c r="I46" s="109"/>
      <c r="J46" s="110"/>
      <c r="S46" s="3"/>
    </row>
    <row r="47" spans="1:19" s="75" customFormat="1" ht="23.25" customHeight="1">
      <c r="A47" s="111" t="s">
        <v>58</v>
      </c>
      <c r="B47" s="112"/>
      <c r="C47" s="112"/>
      <c r="D47" s="112"/>
      <c r="E47" s="112"/>
      <c r="F47" s="112" t="s">
        <v>59</v>
      </c>
      <c r="G47" s="112"/>
      <c r="H47" s="112"/>
      <c r="I47" s="112"/>
      <c r="J47" s="113"/>
      <c r="S47" s="41"/>
    </row>
    <row r="48" spans="1:19" ht="23.25" customHeight="1">
      <c r="A48" s="114" t="s">
        <v>60</v>
      </c>
      <c r="B48" s="115"/>
      <c r="C48" s="116" t="str">
        <f>A4</f>
        <v>㈜강구토건 대표 이진호</v>
      </c>
      <c r="D48" s="116"/>
      <c r="E48" s="116"/>
      <c r="F48" s="76" t="s">
        <v>61</v>
      </c>
      <c r="G48" s="225" t="s">
        <v>200</v>
      </c>
      <c r="H48" s="225"/>
      <c r="I48" s="225"/>
      <c r="J48" s="226"/>
      <c r="S48" s="3"/>
    </row>
    <row r="49" spans="1:19" ht="23.25" customHeight="1">
      <c r="A49" s="100" t="s">
        <v>62</v>
      </c>
      <c r="B49" s="101"/>
      <c r="C49" s="102" t="s">
        <v>84</v>
      </c>
      <c r="D49" s="102"/>
      <c r="E49" s="102"/>
      <c r="F49" s="77" t="s">
        <v>63</v>
      </c>
      <c r="G49" s="103"/>
      <c r="H49" s="103"/>
      <c r="I49" s="103"/>
      <c r="J49" s="104"/>
      <c r="S49" s="3"/>
    </row>
    <row r="50" spans="1:19" ht="23.25" customHeight="1">
      <c r="A50" s="100" t="s">
        <v>64</v>
      </c>
      <c r="B50" s="101"/>
      <c r="C50" s="103"/>
      <c r="D50" s="103"/>
      <c r="E50" s="103"/>
      <c r="F50" s="78" t="s">
        <v>65</v>
      </c>
      <c r="G50" s="103"/>
      <c r="H50" s="103"/>
      <c r="I50" s="103"/>
      <c r="J50" s="104"/>
      <c r="S50" s="3"/>
    </row>
    <row r="51" spans="1:19" ht="23.25" customHeight="1" thickBot="1">
      <c r="A51" s="95" t="s">
        <v>66</v>
      </c>
      <c r="B51" s="96"/>
      <c r="C51" s="97" t="s">
        <v>85</v>
      </c>
      <c r="D51" s="97"/>
      <c r="E51" s="97"/>
      <c r="F51" s="79" t="s">
        <v>67</v>
      </c>
      <c r="G51" s="98"/>
      <c r="H51" s="98"/>
      <c r="I51" s="98"/>
      <c r="J51" s="99"/>
      <c r="S51" s="3"/>
    </row>
  </sheetData>
  <mergeCells count="86">
    <mergeCell ref="B20:J20"/>
    <mergeCell ref="B21:J21"/>
    <mergeCell ref="A51:B51"/>
    <mergeCell ref="C51:E51"/>
    <mergeCell ref="G51:J51"/>
    <mergeCell ref="A49:B49"/>
    <mergeCell ref="C49:E49"/>
    <mergeCell ref="G49:J49"/>
    <mergeCell ref="A50:B50"/>
    <mergeCell ref="C50:E50"/>
    <mergeCell ref="G50:J50"/>
    <mergeCell ref="B45:J45"/>
    <mergeCell ref="A46:J46"/>
    <mergeCell ref="A47:E47"/>
    <mergeCell ref="F47:J47"/>
    <mergeCell ref="A48:B48"/>
    <mergeCell ref="C48:E48"/>
    <mergeCell ref="G48:J48"/>
    <mergeCell ref="A36:A40"/>
    <mergeCell ref="B36:J40"/>
    <mergeCell ref="O36:P36"/>
    <mergeCell ref="O37:P37"/>
    <mergeCell ref="O38:P38"/>
    <mergeCell ref="O40:P40"/>
    <mergeCell ref="A41:A44"/>
    <mergeCell ref="B42:C42"/>
    <mergeCell ref="D42:E42"/>
    <mergeCell ref="F42:G42"/>
    <mergeCell ref="H42:I42"/>
    <mergeCell ref="B43:C43"/>
    <mergeCell ref="D43:E43"/>
    <mergeCell ref="F43:G43"/>
    <mergeCell ref="H43:I43"/>
    <mergeCell ref="B44:J44"/>
    <mergeCell ref="B41:C41"/>
    <mergeCell ref="A25:A26"/>
    <mergeCell ref="B25:J26"/>
    <mergeCell ref="A27:A28"/>
    <mergeCell ref="B27:J28"/>
    <mergeCell ref="B29:J29"/>
    <mergeCell ref="L29:Q32"/>
    <mergeCell ref="A30:A35"/>
    <mergeCell ref="B30:J35"/>
    <mergeCell ref="O34:P34"/>
    <mergeCell ref="O35:P35"/>
    <mergeCell ref="A22:A24"/>
    <mergeCell ref="B22:C22"/>
    <mergeCell ref="G22:H22"/>
    <mergeCell ref="I22:J22"/>
    <mergeCell ref="B23:C23"/>
    <mergeCell ref="G23:H23"/>
    <mergeCell ref="I23:J23"/>
    <mergeCell ref="G24:H24"/>
    <mergeCell ref="I24:J24"/>
    <mergeCell ref="R12:S12"/>
    <mergeCell ref="B15:J16"/>
    <mergeCell ref="B17:J17"/>
    <mergeCell ref="L17:L18"/>
    <mergeCell ref="M17:M18"/>
    <mergeCell ref="B18:F18"/>
    <mergeCell ref="H18:J18"/>
    <mergeCell ref="A8:A10"/>
    <mergeCell ref="B8:C8"/>
    <mergeCell ref="D8:E8"/>
    <mergeCell ref="G8:J8"/>
    <mergeCell ref="B9:J10"/>
    <mergeCell ref="A11:A19"/>
    <mergeCell ref="B11:D11"/>
    <mergeCell ref="H11:J11"/>
    <mergeCell ref="B12:J14"/>
    <mergeCell ref="B19:J19"/>
    <mergeCell ref="A5:J5"/>
    <mergeCell ref="B6:E6"/>
    <mergeCell ref="F6:G6"/>
    <mergeCell ref="H6:J6"/>
    <mergeCell ref="B7:E7"/>
    <mergeCell ref="F7:G7"/>
    <mergeCell ref="H7:J7"/>
    <mergeCell ref="A1:E1"/>
    <mergeCell ref="L1:Q2"/>
    <mergeCell ref="A2:J2"/>
    <mergeCell ref="L3:P3"/>
    <mergeCell ref="A4:B4"/>
    <mergeCell ref="C4:D4"/>
    <mergeCell ref="F4:J4"/>
    <mergeCell ref="L4:P4"/>
  </mergeCells>
  <phoneticPr fontId="3" type="noConversion"/>
  <printOptions horizontalCentered="1"/>
  <pageMargins left="0.70866141732283472" right="0.70866141732283472" top="0.74803149606299213" bottom="0.74803149606299213" header="0.31496062992125984" footer="0.31496062992125984"/>
  <pageSetup paperSize="9" scale="66" fitToWidth="0" orientation="portrait" r:id="rId1"/>
  <colBreaks count="1" manualBreakCount="1">
    <brk id="10" max="1048575"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12</vt:i4>
      </vt:variant>
      <vt:variant>
        <vt:lpstr>이름 지정된 범위</vt:lpstr>
      </vt:variant>
      <vt:variant>
        <vt:i4>12</vt:i4>
      </vt:variant>
    </vt:vector>
  </HeadingPairs>
  <TitlesOfParts>
    <vt:vector size="24" baseType="lpstr">
      <vt:lpstr>8시간(8hx6)_1월</vt:lpstr>
      <vt:lpstr>8시간(8hx6)_2월</vt:lpstr>
      <vt:lpstr>8시간(8hx6)_3월</vt:lpstr>
      <vt:lpstr>8시간(8hx6)_4월</vt:lpstr>
      <vt:lpstr>8시간(8hx6)_5월</vt:lpstr>
      <vt:lpstr>8시간(8hx6)_6월</vt:lpstr>
      <vt:lpstr>8시간(8hx6)_7월</vt:lpstr>
      <vt:lpstr>8시간(8hx6)_8월</vt:lpstr>
      <vt:lpstr>8시간(8hx6)_9월</vt:lpstr>
      <vt:lpstr>8시간(8hx6)_10월</vt:lpstr>
      <vt:lpstr>8시간(8hx6)_11월</vt:lpstr>
      <vt:lpstr>8시간(8hx6)_12월</vt:lpstr>
      <vt:lpstr>'8시간(8hx6)_10월'!Print_Area</vt:lpstr>
      <vt:lpstr>'8시간(8hx6)_11월'!Print_Area</vt:lpstr>
      <vt:lpstr>'8시간(8hx6)_12월'!Print_Area</vt:lpstr>
      <vt:lpstr>'8시간(8hx6)_1월'!Print_Area</vt:lpstr>
      <vt:lpstr>'8시간(8hx6)_2월'!Print_Area</vt:lpstr>
      <vt:lpstr>'8시간(8hx6)_3월'!Print_Area</vt:lpstr>
      <vt:lpstr>'8시간(8hx6)_4월'!Print_Area</vt:lpstr>
      <vt:lpstr>'8시간(8hx6)_5월'!Print_Area</vt:lpstr>
      <vt:lpstr>'8시간(8hx6)_6월'!Print_Area</vt:lpstr>
      <vt:lpstr>'8시간(8hx6)_7월'!Print_Area</vt:lpstr>
      <vt:lpstr>'8시간(8hx6)_8월'!Print_Area</vt:lpstr>
      <vt:lpstr>'8시간(8hx6)_9월'!Print_Area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강신의</dc:creator>
  <cp:lastModifiedBy>24H2&amp;5</cp:lastModifiedBy>
  <cp:lastPrinted>2025-12-22T06:56:13Z</cp:lastPrinted>
  <dcterms:created xsi:type="dcterms:W3CDTF">2020-12-28T02:27:46Z</dcterms:created>
  <dcterms:modified xsi:type="dcterms:W3CDTF">2025-12-31T06:14:34Z</dcterms:modified>
</cp:coreProperties>
</file>