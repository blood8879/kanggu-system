
<file path=[Content_Types].xml><?xml version="1.0" encoding="utf-8"?>
<Types xmlns="http://schemas.openxmlformats.org/package/2006/content-types">
  <Default Extension="png" ContentType="image/png"/>
  <Default Extension="wdp" ContentType="image/wdp"/>
  <Default Extension="rels" ContentType="application/vnd.openxmlformats-package.relationships+xml"/>
  <Default Extension="xml" ContentType="application/xml"/>
  <Override PartName="/xl/workbook.xml" ContentType="application/vnd.openxmlformats-officedocument.spreadsheetml.sheet.main+xml"/>
  <Override PartName="/xl/worksheets/sheet12.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xl/comments12.xml" ContentType="application/vnd.openxmlformats-officedocument.spreadsheetml.comments+xml"/>
  <Override PartName="/xl/comments11.xml" ContentType="application/vnd.openxmlformats-officedocument.spreadsheetml.comments+xml"/>
  <Override PartName="/xl/comments10.xml" ContentType="application/vnd.openxmlformats-officedocument.spreadsheetml.comments+xml"/>
  <Override PartName="/xl/comments9.xml" ContentType="application/vnd.openxmlformats-officedocument.spreadsheetml.comments+xml"/>
  <Override PartName="/xl/comments8.xml" ContentType="application/vnd.openxmlformats-officedocument.spreadsheetml.comments+xml"/>
  <Override PartName="/xl/comments7.xml" ContentType="application/vnd.openxmlformats-officedocument.spreadsheetml.comments+xml"/>
  <Override PartName="/xl/comments6.xml" ContentType="application/vnd.openxmlformats-officedocument.spreadsheetml.comments+xml"/>
  <Override PartName="/xl/comments5.xml" ContentType="application/vnd.openxmlformats-officedocument.spreadsheetml.comments+xml"/>
  <Override PartName="/xl/comments4.xml" ContentType="application/vnd.openxmlformats-officedocument.spreadsheetml.comments+xml"/>
  <Override PartName="/xl/comments3.xml" ContentType="application/vnd.openxmlformats-officedocument.spreadsheetml.comments+xml"/>
  <Override PartName="/xl/comments2.xml" ContentType="application/vnd.openxmlformats-officedocument.spreadsheetml.comment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firstSheet="0" activeTab="10"/>
  </bookViews>
  <sheets>
    <sheet sheetId="12" name="8시간(8hx6)_1월" state="visible" r:id="rId4"/>
    <sheet sheetId="11" name="8시간(8hx6)_2월" state="visible" r:id="rId5"/>
    <sheet sheetId="10" name="8시간(8hx6)_3월" state="visible" r:id="rId6"/>
    <sheet sheetId="9" name="8시간(8hx6)_4월" state="visible" r:id="rId7"/>
    <sheet sheetId="8" name="8시간(8hx6)_5월" state="visible" r:id="rId8"/>
    <sheet sheetId="7" name="8시간(8hx6)_6월" state="visible" r:id="rId9"/>
    <sheet sheetId="6" name="8시간(8hx6)_7월" state="visible" r:id="rId10"/>
    <sheet sheetId="5" name="8시간(8hx6)_8월" state="visible" r:id="rId11"/>
    <sheet sheetId="4" name="8시간(8hx6)_9월" state="visible" r:id="rId12"/>
    <sheet sheetId="3" name="8시간(8hx6)_10월" state="visible" r:id="rId13"/>
    <sheet sheetId="2" name="8시간(8hx6)_11월" state="visible" r:id="rId14"/>
    <sheet sheetId="1" name="8시간(8hx6)_12월" state="visible" r:id="rId15"/>
  </sheets>
  <definedNames>
    <definedName name="_xlnm.Print_Area" localSheetId="0">'8시간(8hx6)_1월'!$A1:$J51</definedName>
    <definedName name="_xlnm.Print_Area" localSheetId="1">'8시간(8hx6)_2월'!$A1:$J51</definedName>
    <definedName name="_xlnm.Print_Area" localSheetId="2">'8시간(8hx6)_3월'!$A1:$J51</definedName>
    <definedName name="_xlnm.Print_Area" localSheetId="3">'8시간(8hx6)_4월'!$A1:$J51</definedName>
    <definedName name="_xlnm.Print_Area" localSheetId="4">'8시간(8hx6)_5월'!$A1:$J51</definedName>
    <definedName name="_xlnm.Print_Area" localSheetId="5">'8시간(8hx6)_6월'!$A1:$J51</definedName>
    <definedName name="_xlnm.Print_Area" localSheetId="6">'8시간(8hx6)_7월'!$A1:$J51</definedName>
    <definedName name="_xlnm.Print_Area" localSheetId="7">'8시간(8hx6)_8월'!$A1:$J51</definedName>
    <definedName name="_xlnm.Print_Area" localSheetId="8">'8시간(8hx6)_9월'!$A1:$J51</definedName>
    <definedName name="_xlnm.Print_Area" localSheetId="9">'8시간(8hx6)_10월'!$A1:$J51</definedName>
    <definedName name="_xlnm.Print_Area" localSheetId="10">'8시간(8hx6)_11월'!$A1:$J51</definedName>
    <definedName name="_xlnm.Print_Area" localSheetId="11">'8시간(8hx6)_12월'!$A1:$J51</definedName>
  </definedNames>
  <calcPr calcId="171027"/>
</workbook>
</file>

<file path=xl/comments1.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2.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3.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4.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5.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6.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7.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8.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9.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10.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11.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comments12.xml><?xml version="1.0" encoding="utf-8"?>
<comments xmlns="http://schemas.openxmlformats.org/spreadsheetml/2006/main">
  <authors>
    <author>Author</author>
  </authors>
  <commentList>
    <comment ref="M10" authorId="0">
      <text>
        <r>
          <rPr>
            <b/>
            <charset val="129"/>
            <color indexed="81"/>
            <family val="3"/>
            <sz val="9"/>
            <rFont val="돋움"/>
          </rPr>
          <t>주</t>
        </r>
        <r>
          <rPr>
            <b/>
            <color indexed="81"/>
            <family val="2"/>
            <sz val="9"/>
            <rFont val="Tahoma"/>
          </rPr>
          <t>40h+</t>
        </r>
        <r>
          <rPr>
            <b/>
            <charset val="129"/>
            <color indexed="81"/>
            <family val="3"/>
            <sz val="9"/>
            <rFont val="돋움"/>
          </rPr>
          <t>토요기본</t>
        </r>
        <r>
          <rPr>
            <b/>
            <color indexed="81"/>
            <family val="2"/>
            <sz val="9"/>
            <rFont val="Tahoma"/>
          </rPr>
          <t>8h</t>
        </r>
      </text>
    </comment>
    <comment ref="O12" authorId="0">
      <text>
        <r>
          <rPr>
            <b/>
            <u/>
            <charset val="129"/>
            <color indexed="81"/>
            <family val="3"/>
            <sz val="9"/>
            <rFont val="돋움"/>
          </rPr>
          <t xml:space="preserve">월별로 일수 수정필요
2021년 1월의 경우 1일, 2월의 경우 2일
</t>
        </r>
      </text>
    </comment>
    <comment ref="G18" authorId="0">
      <text>
        <r>
          <rPr>
            <charset val="129"/>
            <color indexed="81"/>
            <family val="3"/>
            <sz val="9"/>
            <rFont val="돋움"/>
          </rPr>
          <t>이곳에</t>
        </r>
        <r>
          <rPr>
            <color indexed="81"/>
            <family val="2"/>
            <sz val="9"/>
            <rFont val="Tahoma"/>
          </rPr>
          <t xml:space="preserve"> </t>
        </r>
        <r>
          <rPr>
            <charset val="129"/>
            <color indexed="81"/>
            <family val="3"/>
            <sz val="9"/>
            <rFont val="돋움"/>
          </rPr>
          <t>포괄일당을</t>
        </r>
        <r>
          <rPr>
            <color indexed="81"/>
            <family val="2"/>
            <sz val="9"/>
            <rFont val="Tahoma"/>
          </rPr>
          <t xml:space="preserve"> </t>
        </r>
        <r>
          <rPr>
            <charset val="129"/>
            <color indexed="81"/>
            <family val="3"/>
            <sz val="9"/>
            <rFont val="돋움"/>
          </rPr>
          <t>기재하시면</t>
        </r>
        <r>
          <rPr>
            <color indexed="81"/>
            <family val="2"/>
            <sz val="9"/>
            <rFont val="Tahoma"/>
          </rPr>
          <t xml:space="preserve"> </t>
        </r>
        <r>
          <rPr>
            <charset val="129"/>
            <color indexed="81"/>
            <family val="3"/>
            <sz val="9"/>
            <rFont val="돋움"/>
          </rPr>
          <t>기본일당과</t>
        </r>
        <r>
          <rPr>
            <color indexed="81"/>
            <family val="2"/>
            <sz val="9"/>
            <rFont val="Tahoma"/>
          </rPr>
          <t xml:space="preserve"> </t>
        </r>
        <r>
          <rPr>
            <charset val="129"/>
            <color indexed="81"/>
            <family val="3"/>
            <sz val="9"/>
            <rFont val="돋움"/>
          </rPr>
          <t>법정수당이</t>
        </r>
        <r>
          <rPr>
            <color indexed="81"/>
            <family val="2"/>
            <sz val="9"/>
            <rFont val="Tahoma"/>
          </rPr>
          <t xml:space="preserve"> </t>
        </r>
        <r>
          <rPr>
            <charset val="129"/>
            <color indexed="81"/>
            <family val="3"/>
            <sz val="9"/>
            <rFont val="돋움"/>
          </rPr>
          <t>자동산정됩니다</t>
        </r>
        <r>
          <rPr>
            <color indexed="81"/>
            <family val="2"/>
            <sz val="9"/>
            <rFont val="Tahoma"/>
          </rPr>
          <t xml:space="preserve">. </t>
        </r>
      </text>
    </comment>
    <comment ref="G22" authorId="0">
      <text>
        <r>
          <rPr>
            <charset val="129"/>
            <color indexed="81"/>
            <family val="3"/>
            <sz val="9"/>
            <rFont val="돋움"/>
          </rPr>
          <t xml:space="preserve">토요일에 근무하고 일요일에 추가로 근무하는 경우 추가공수 지급되어야 함.
토요일에 근무하지 않고, 일요일에 근무하는 경우에는 1공수 지급</t>
        </r>
      </text>
    </comment>
    <comment ref="I22" authorId="0">
      <text>
        <r>
          <rPr>
            <charset val="129"/>
            <color indexed="81"/>
            <family val="3"/>
            <sz val="9"/>
            <rFont val="돋움"/>
          </rPr>
          <t>고용노동부포괄임금</t>
        </r>
        <r>
          <rPr>
            <color indexed="81"/>
            <family val="2"/>
            <sz val="9"/>
            <rFont val="Tahoma"/>
          </rPr>
          <t xml:space="preserve"> </t>
        </r>
        <r>
          <rPr>
            <charset val="129"/>
            <color indexed="81"/>
            <family val="3"/>
            <sz val="9"/>
            <rFont val="돋움"/>
          </rPr>
          <t>지침에서</t>
        </r>
        <r>
          <rPr>
            <color indexed="81"/>
            <family val="2"/>
            <sz val="9"/>
            <rFont val="Tahoma"/>
          </rPr>
          <t xml:space="preserve"> </t>
        </r>
        <r>
          <rPr>
            <charset val="129"/>
            <color indexed="81"/>
            <family val="3"/>
            <sz val="9"/>
            <rFont val="돋움"/>
          </rPr>
          <t>연차휴가수당</t>
        </r>
        <r>
          <rPr>
            <color indexed="81"/>
            <family val="2"/>
            <sz val="9"/>
            <rFont val="Tahoma"/>
          </rPr>
          <t xml:space="preserve"> </t>
        </r>
        <r>
          <rPr>
            <charset val="129"/>
            <color indexed="81"/>
            <family val="3"/>
            <sz val="9"/>
            <rFont val="돋움"/>
          </rPr>
          <t>사전매수로</t>
        </r>
        <r>
          <rPr>
            <color indexed="81"/>
            <family val="2"/>
            <sz val="9"/>
            <rFont val="Tahoma"/>
          </rPr>
          <t xml:space="preserve"> </t>
        </r>
        <r>
          <rPr>
            <charset val="129"/>
            <color indexed="81"/>
            <family val="3"/>
            <sz val="9"/>
            <rFont val="돋움"/>
          </rPr>
          <t>포괄일당에</t>
        </r>
        <r>
          <rPr>
            <color indexed="81"/>
            <family val="2"/>
            <sz val="9"/>
            <rFont val="Tahoma"/>
          </rPr>
          <t xml:space="preserve"> </t>
        </r>
        <r>
          <rPr>
            <charset val="129"/>
            <color indexed="81"/>
            <family val="3"/>
            <sz val="9"/>
            <rFont val="돋움"/>
          </rPr>
          <t>포함불가</t>
        </r>
        <r>
          <rPr>
            <color indexed="81"/>
            <family val="2"/>
            <sz val="9"/>
            <rFont val="Tahoma"/>
          </rPr>
          <t xml:space="preserve">. </t>
        </r>
        <r>
          <rPr>
            <charset val="129"/>
            <color indexed="81"/>
            <family val="3"/>
            <sz val="9"/>
            <rFont val="돋움"/>
          </rPr>
          <t>다만</t>
        </r>
        <r>
          <rPr>
            <color indexed="81"/>
            <family val="2"/>
            <sz val="9"/>
            <rFont val="Tahoma"/>
          </rPr>
          <t xml:space="preserve"> </t>
        </r>
        <r>
          <rPr>
            <charset val="129"/>
            <color indexed="81"/>
            <family val="3"/>
            <sz val="9"/>
            <rFont val="돋움"/>
          </rPr>
          <t>법원에서는</t>
        </r>
        <r>
          <rPr>
            <color indexed="81"/>
            <family val="2"/>
            <sz val="9"/>
            <rFont val="Tahoma"/>
          </rPr>
          <t xml:space="preserve"> </t>
        </r>
        <r>
          <rPr>
            <charset val="129"/>
            <color indexed="81"/>
            <family val="3"/>
            <sz val="9"/>
            <rFont val="돋움"/>
          </rPr>
          <t>포괄</t>
        </r>
        <r>
          <rPr>
            <color indexed="81"/>
            <family val="2"/>
            <sz val="9"/>
            <rFont val="Tahoma"/>
          </rPr>
          <t xml:space="preserve"> </t>
        </r>
        <r>
          <rPr>
            <charset val="129"/>
            <color indexed="81"/>
            <family val="3"/>
            <sz val="9"/>
            <rFont val="돋움"/>
          </rPr>
          <t>인정하는</t>
        </r>
        <r>
          <rPr>
            <color indexed="81"/>
            <family val="2"/>
            <sz val="9"/>
            <rFont val="Tahoma"/>
          </rPr>
          <t xml:space="preserve"> </t>
        </r>
        <r>
          <rPr>
            <charset val="129"/>
            <color indexed="81"/>
            <family val="3"/>
            <sz val="9"/>
            <rFont val="돋움"/>
          </rPr>
          <t xml:space="preserve">판례있음
</t>
        </r>
      </text>
    </comment>
    <comment ref="E24" authorId="0">
      <text>
        <r>
          <rPr>
            <charset val="129"/>
            <color indexed="81"/>
            <family val="3"/>
            <sz val="9"/>
            <rFont val="돋움"/>
          </rPr>
          <t>주휴수당 x 5일 = 기본일당</t>
        </r>
      </text>
    </comment>
  </commentList>
</comments>
</file>

<file path=xl/sharedStrings.xml><?xml version="1.0" encoding="utf-8"?>
<sst xmlns="http://schemas.openxmlformats.org/spreadsheetml/2006/main" count="1257" uniqueCount="159">
  <si>
    <t>2025년 일용</t>
  </si>
  <si>
    <t>근로계약서 작성을 위한 기초 입력사항</t>
  </si>
  <si>
    <t>근 로 계 약 서</t>
  </si>
  <si>
    <t xml:space="preserve"> </t>
  </si>
  <si>
    <t>㈜강구토건 대표 이진호</t>
  </si>
  <si>
    <t xml:space="preserve"> (이하 "갑"이라 한다)과 </t>
  </si>
  <si>
    <t>(이하 ‘을’이라 한다)은  아래와  같이  근로조건을  정하고</t>
  </si>
  <si>
    <t xml:space="preserve">     이를 성실히 이행할 것을 약정한다.</t>
  </si>
  <si>
    <t>근로장소</t>
  </si>
  <si>
    <t>성수동 2가 273-12 업무시설 신축공사</t>
  </si>
  <si>
    <t>직  종</t>
  </si>
  <si>
    <t>일당</t>
  </si>
  <si>
    <t>근로시간</t>
  </si>
  <si>
    <t>근무일/주</t>
  </si>
  <si>
    <t xml:space="preserve">팀단위
공사구간</t>
  </si>
  <si>
    <t>팀장명</t>
  </si>
  <si>
    <t>계약기간</t>
  </si>
  <si>
    <r>
      <t xml:space="preserve"> </t>
    </r>
    <r>
      <rPr>
        <b/>
        <u/>
        <charset val="129"/>
        <color indexed="62"/>
        <family val="3"/>
        <sz val="10"/>
        <rFont val="굴림"/>
      </rPr>
      <t xml:space="preserve"> 2025. 05  . 02  .  ~</t>
    </r>
  </si>
  <si>
    <r>
      <t xml:space="preserve"> </t>
    </r>
    <r>
      <rPr>
        <b/>
        <u/>
        <charset val="129"/>
        <color indexed="62"/>
        <family val="3"/>
        <sz val="10"/>
        <rFont val="굴림"/>
      </rPr>
      <t xml:space="preserve"> 2025 . 05  . 31   .  (1개월)</t>
    </r>
  </si>
  <si>
    <t>해당월 말일</t>
  </si>
  <si>
    <t>로 한다. 근로계약만료시 근로관계는 자동종료된다</t>
  </si>
  <si>
    <t xml:space="preserve">  근로계약기간중이라도 "을"이 담당하는 팀단위 공사구간(                               )의 공사가 종료되거나 공종(업무)이 종료된 때 또는 근로계약해지사유에 해당된 때, 발주청 또는 원청의 사정으로 공사가 중단된 때를 계약만료일로 한다. 현장간의 전출입은  엄격히 금지되며 현장이동이 필요한 경우 계약을 해지(사직)하고 신규채용절차를 밟아야 한다.</t>
  </si>
  <si>
    <t>구분</t>
  </si>
  <si>
    <t>시간/1주</t>
  </si>
  <si>
    <t>환산비율</t>
  </si>
  <si>
    <t>4.34주</t>
  </si>
  <si>
    <t>월환산시간</t>
  </si>
  <si>
    <t>비중</t>
  </si>
  <si>
    <t>기본일당</t>
  </si>
  <si>
    <t>임    금</t>
  </si>
  <si>
    <t xml:space="preserve"> 1.  "을"의 임금은  1일 8시간 기본일급  (</t>
  </si>
  <si>
    <t>)원,   시간급(</t>
  </si>
  <si>
    <t xml:space="preserve">  )원 으로 하고,법정수당은 다음과 </t>
  </si>
  <si>
    <t>주휴수당</t>
  </si>
  <si>
    <r>
      <t xml:space="preserve">      같이 산정 지급 한다. 단, 태업시에는 태업율만큼 임금이 삭감되며, 근무지이탈, 무단출근시, 우천등 천재지변으로 작업을 못한 경우 해당임금은 지급되지 아니한다   ① 연장근로수당 : 시간급×연장근로시간×150%    ② 휴일가산수당 : 시간급×휴일근로시간×50%   ③ 야간근로수당 : 시간급×야간근로시간(22:00-06:00) × 50%  ④ 유급주휴수당 : 전 주간(월~금)만근한 경우 시간급×8h   ⑤ 연차휴가수당 : 1개월(1~말일)간 만근 후,  연차휴가 미사용시 시간급× 8h  ⑤ 국공휴일수당 : 시간급 x 8h</t>
    </r>
    <r>
      <rPr>
        <charset val="129"/>
        <color indexed="30"/>
        <family val="3"/>
        <sz val="10"/>
        <rFont val="굴림"/>
      </rPr>
      <t/>
    </r>
  </si>
  <si>
    <t>국공휴일</t>
  </si>
  <si>
    <t>토일할증</t>
  </si>
  <si>
    <t>연차수당</t>
  </si>
  <si>
    <r>
      <t xml:space="preserve"> 2. 임금은 익월</t>
    </r>
    <r>
      <rPr>
        <u/>
        <charset val="129"/>
        <family val="3"/>
        <sz val="10"/>
        <rFont val="굴림"/>
      </rPr>
      <t xml:space="preserve"> </t>
    </r>
    <r>
      <rPr>
        <b/>
        <u/>
        <charset val="129"/>
        <family val="3"/>
        <sz val="10"/>
        <rFont val="굴림"/>
      </rPr>
      <t>15</t>
    </r>
    <r>
      <rPr>
        <u/>
        <charset val="129"/>
        <family val="3"/>
        <sz val="10"/>
        <rFont val="굴림"/>
      </rPr>
      <t xml:space="preserve">  </t>
    </r>
    <r>
      <rPr>
        <charset val="129"/>
        <family val="3"/>
        <sz val="10"/>
        <rFont val="굴림"/>
      </rPr>
      <t>일에 지급하며, 급여지급시 근로소득세 및 고용보험료, 건강보험료, 국민연금등 제세공과금을   원천 징수한 후 "을"명의의 송금계좌로 직접 지급한다.</t>
    </r>
    <r>
      <rPr>
        <b/>
        <charset val="129"/>
        <color indexed="10"/>
        <family val="3"/>
        <sz val="10"/>
        <rFont val="굴림"/>
      </rPr>
      <t xml:space="preserve"> (급여송금 계좌번호 :                     은행 ,                                                           )  </t>
    </r>
    <r>
      <rPr>
        <charset val="129"/>
        <family val="3"/>
        <sz val="10"/>
        <rFont val="굴림"/>
      </rPr>
      <t xml:space="preserve">                  </t>
    </r>
  </si>
  <si>
    <t>합계</t>
  </si>
  <si>
    <t xml:space="preserve"> 3. 회사는 지정된 시간, 장소에서  "을"에게 식사를 제공한다.  4. 소정근로시간 내 성과목표를 달성한 경우에는 추가공수를 지급할 수 있다.</t>
  </si>
  <si>
    <t>2023년 최저임금</t>
  </si>
  <si>
    <t xml:space="preserve"> 5.“을”의 임금은 위“1항”에 기본일급에 위1항 ①호~⑤호 법정수당이 포함된   일급 ( </t>
  </si>
  <si>
    <t xml:space="preserve">)에 출역공수 ( 월~토 8시간  1공수,  </t>
  </si>
  <si>
    <r>
      <t xml:space="preserve">    연장 2.5시간 0.5공수)로 산정. 포괄일당 및  임금정책 변경시 시간급으로 산정하는데에 동의한다 </t>
    </r>
    <r>
      <rPr>
        <b/>
        <u/>
        <charset val="129"/>
        <color indexed="30"/>
        <family val="3"/>
        <sz val="10"/>
        <rFont val="굴림"/>
      </rPr>
      <t xml:space="preserve">:  </t>
    </r>
    <r>
      <rPr>
        <b/>
        <u/>
        <charset val="129"/>
        <color indexed="10"/>
        <family val="3"/>
        <sz val="10"/>
        <rFont val="굴림"/>
      </rPr>
      <t xml:space="preserve">동의자                    (인)  </t>
    </r>
  </si>
  <si>
    <t xml:space="preserve">* 본 근로계약서는 열린노무법인에서 작성하여 배포하는 것으로서 </t>
  </si>
  <si>
    <t>6."을"의 임금명세서는 문자메세지 및 전자적 방식에 따라 교부받으며, 명세서 교부 전에 퇴사하면 직접 "갑"의 사무실에서 수령하는 것에 대해서</t>
  </si>
  <si>
    <t xml:space="preserve">  저작권에 등록되어 있으므로 회사에서 사용할 수는 있으나 상업목적으로 </t>
  </si>
  <si>
    <r>
      <rPr>
        <charset val="129"/>
        <color theme="1"/>
        <family val="3"/>
        <sz val="10"/>
        <rFont val="굴림"/>
      </rPr>
      <t xml:space="preserve">동의한다.  </t>
    </r>
    <r>
      <rPr>
        <b/>
        <charset val="129"/>
        <color rgb="FFFF0000"/>
        <family val="3"/>
        <sz val="10"/>
        <rFont val="굴림"/>
      </rPr>
      <t xml:space="preserve">                                                                                                        </t>
    </r>
    <r>
      <rPr>
        <b/>
        <u/>
        <charset val="129"/>
        <color rgb="FFFF0000"/>
        <family val="3"/>
        <sz val="10"/>
        <rFont val="굴림"/>
      </rPr>
      <t xml:space="preserve">동의자                  (인) </t>
    </r>
  </si>
  <si>
    <t xml:space="preserve">  배포할 경우 법적문제가 발생될 수 있습니다 </t>
  </si>
  <si>
    <t xml:space="preserve">임 금
구성내역</t>
  </si>
  <si>
    <t>일급 산정내역</t>
  </si>
  <si>
    <t>유급주휴</t>
  </si>
  <si>
    <t>토.휴일할증</t>
  </si>
  <si>
    <t xml:space="preserve">  회사의 실정이 맞도록 조정하여 사용하시기 바랍니다. </t>
  </si>
  <si>
    <t>산정기준</t>
  </si>
  <si>
    <t>시간급</t>
  </si>
  <si>
    <t xml:space="preserve">근로시간
휴게시간</t>
  </si>
  <si>
    <r>
      <t xml:space="preserve">1. 소정근로시간은 1일 8시간, 1주 40시간으로 하고, "을"의 동의를 얻은 경우 1주 12시간이내 연장근로 할 수 있다.
2. 시업시간  07:00 ~ 종업시간  17:00(월~토). 휴게시간 09:00~09:30(0.5h), 12:00~13:00(1h), 15:00~15:30(0.5h)로 한다.  출퇴근 시간,  식사.간식시간, 식사.간식을 위한 이동시간,  천재지변(비, 눈, 폭염. 강풍, 한파등 )으로 인한 휴게시간은 근로시간에 포함하지 않는다.  근로시간 및 휴게시간은 기후, 계절에 따라 조정될 수 있다. 우천등 천재지변으로 작업할 수 없음을 통보를 받은 경우는 출근해서는 안된다.  3. "을"은 시업시간 07:00( "갑"회사 현장소장으로 부터 작업지시를 받을 준비를 하여야 함)부터  종업시간17:00 (작업장의 정리,   정돈을  마치고 당해 작업장을 벗어나는 시간)동안 현장관리자의 작업지시에 따라 성실하게 근무하여야 한다
4.  2주단위 탄력적근로시간제에 의거 1주는 60시간(=48h+12h), 2주는 44h(=32h+12h) 초과하지 않는 범위내에서 근로할 수 있으며, 근로자대표와 서면합의시에는 3개월단위 탄력적 근로시간제(1주 최대64h, 1일 최대 12h), 1개월 단위 선택적근로시간제로 근로할 수 있다   
                                              1주 12시간 이내 연장근로 시행에 동의함    </t>
    </r>
    <r>
      <rPr>
        <b/>
        <u/>
        <charset val="129"/>
        <color indexed="10"/>
        <family val="3"/>
        <sz val="10"/>
        <rFont val="굴림"/>
      </rPr>
      <t>동의자 성명 :                         (인)</t>
    </r>
  </si>
  <si>
    <t xml:space="preserve">휴일 </t>
  </si>
  <si>
    <t xml:space="preserve"> 1. 근로자의 날(5.1) 전주간(월-금)만근한 경우 일요일(주휴일)은 유급휴일로 부여한다. (유급 주휴수당은 일당에 포함하여  지급한다.포괄임금제 폐지시에는 시간급을 기준으로 산정한다),  휴일에 근로할 경우, 근로자의 동의를 얻어 다음주중 특정일을 정하여 휴일로 대체하거나, 토일을 격주로 휴무할 수 있다.    2. 관공서공휴일(30인이상 사업장 2021.1.1부터 적용) 유급수당은 일당에 포괄 지급을 원칙으로 한다. 관공서공휴일이 휴일 또는 휴무일과 중복되는 경우에는 무급으로 한다.</t>
  </si>
  <si>
    <t>연차휴가</t>
  </si>
  <si>
    <t>1. “갑은 “을”이 1년간 8할 이상 출근시 연차휴가 15일, 1년 미만인 경우 1월간 만근시 1일의 유급휴가를 준다. 연차수당은 연차휴가사용권을 제한하지 아니하는 범위에서 일당에 포괄역산한다. 2. 전항의 연차휴가는 1일전에 신청하여 승인을 득한후에 사용하여야 하며, "갑"은 휴가시기를 변경할 수 있다.</t>
  </si>
  <si>
    <t xml:space="preserve"> &lt;건설일용근로자 포괄임금 업무처`리 지침&gt;
  일정기간 이상 사용이 예정되어 있는 일당제 일용근로자 : 예정되어 있는 근로기간 동안 
  근로할 경우 지급요건을 충족하는 수당(주휴수당, 연장.야간근로수당, 휴일근로수당)은 
  포함가능하나 그렇지 않은 수당은 포함 불가/다만, 연차유급휴가수당은 이를 포괄임금에 
  포함  할 경우 휴가권을 박탈의 문제가 있으므로 포함할 수 없음.&lt;근로개선정책과, ‘11.8.8&gt;</t>
  </si>
  <si>
    <t xml:space="preserve">근로계약    
해지사유
  </t>
  </si>
  <si>
    <t xml:space="preserve"> 1. 계속하여 5일 이상 결근한 경우(자동면직)
 2. 안전수칙 불이행, 안전조회 불참, 안전장구 미착용(마스크, 턱끈 미착용, 안전고리 미체결 등 포함)
 3. 근무지를 무단이탈(정해진 휴게시간  및 종업시간 이전에 현장을 이탈한 경우)한 경우
 4. 정당한 작업지시 불이행한 경우 또는 기능 및 품질이 현저히 저하된 경우, 과실 등으로 사고나 손실을 야기시킨 경우
 5. 적법하지 않은 집단행동/폭행,파괴, 근로하고자 하는 근로자의 현장 출입을 방해하는 경우
 6. 능률이 미달되어 기성(공사)진행률에 10%이하 미달될 경우 또는 고의적으로 태업한 경우
 7. 폭행, 폭언, 유인물 무단배포, 금연구역에서 흡연, 무단촬영, 출입방해, 타근로자 근로방해 및 근무질서를 문란하게 한 경우
 8. 음주(숙취 포함) 관련, 3회 이상 각 현장 Gate 또는 근로 현장에서 적발될 경우    
 9.  ‘사업주’의 사전 동의 없이 타회사에 취업한 경우(타 회사 취업한 날에 근로계약은 자동해지됨)
10.  불법 체류자, 금지약물 복용자, 기소 중지자(지명 수배), 노동능력상실자 11. "을"의 통장을 팀장등 특정인에게 대여 및 양도하는등 전자 금융거래법을 위반한 경우  12. 해당 팀원의 대다수가 퇴직하여 팀단위 협력 작업이 불가능한 경우 
13. “갑”의 취업규칙 및 안전보건수칙, 회사 제규정에 위배되는 행위를 하였을 때</t>
  </si>
  <si>
    <t xml:space="preserve">기타근로
조   건</t>
  </si>
  <si>
    <r>
      <t xml:space="preserve">1. “을”이 계약기간 중 퇴직하고자 할 경우에는 5일전에 현장소장에게 통보하여야 한다.  2. "을"은 현장에 최초 출근하여 수습 7일 동안 기능도를  테스트한 후  기능공(도면을 볼 수 있어야 하며 해당경력 5년이상 모두 충족),  준기능공, 양성공 선별.급여책정 및 채용 여부가 결정된다.  근로계약 작성을 거부하거나 기능요건에 충족되지 않을 경우 본 계약이 취소된다.  3. 채용 및 해고는 현장소장이 서면통보가 있는 경우에만 유효하고, 그외  팀/반장의 채용결정. 출역금지등 인사조치는 효력이 없다
4.  개인정보(성명, 주민등록번호,주소, 전화번호)를 현장내 출입관리, 공사 및 노무관리에 활용할 수 있도록 원청 및 발주처 관계자에게 제공하고 활용하는데 이의없이 동의합니다. </t>
    </r>
    <r>
      <rPr>
        <charset val="129"/>
        <color indexed="10"/>
        <family val="3"/>
        <sz val="10"/>
        <rFont val="굴림"/>
      </rPr>
      <t xml:space="preserve">            개</t>
    </r>
    <r>
      <rPr>
        <u/>
        <charset val="129"/>
        <color indexed="10"/>
        <family val="3"/>
        <sz val="10"/>
        <rFont val="굴림"/>
      </rPr>
      <t xml:space="preserve">인정보제공 동의자  성명 :                                (인) 
</t>
    </r>
    <r>
      <rPr>
        <charset val="129"/>
        <color indexed="18"/>
        <family val="3"/>
        <sz val="10"/>
        <rFont val="굴림"/>
      </rPr>
      <t xml:space="preserve">5. "을"은 "갑"의 타 현장에서 자발적사직/계약기간 만료 되었음을 확인하며  본 계약 이후 근로관계가 새로이 시작되는 것에 이의없이 
    동의합니다 (* 현장 최초출역일에만 작성)                                       </t>
    </r>
    <r>
      <rPr>
        <charset val="129"/>
        <color indexed="10"/>
        <family val="3"/>
        <sz val="10"/>
        <rFont val="굴림"/>
      </rPr>
      <t xml:space="preserve">동의자 성명 : </t>
    </r>
    <r>
      <rPr>
        <b/>
        <u/>
        <charset val="129"/>
        <color indexed="10"/>
        <family val="3"/>
        <sz val="10"/>
        <rFont val="굴림"/>
      </rPr>
      <t xml:space="preserve">                            (인)</t>
    </r>
  </si>
  <si>
    <t>안전보호구 지급확인</t>
  </si>
  <si>
    <t>1. 안전보호구</t>
  </si>
  <si>
    <t>안전모</t>
  </si>
  <si>
    <t>안전화</t>
  </si>
  <si>
    <t>안전벨트</t>
  </si>
  <si>
    <t>각 반</t>
  </si>
  <si>
    <t>안전교육이수여부</t>
  </si>
  <si>
    <t>(인)</t>
  </si>
  <si>
    <r>
      <t xml:space="preserve">2. 상기 안전보호구 수령확인 및 근로계약/취업규칙 내용을 확인하고 이행함을 동의합니다.        </t>
    </r>
    <r>
      <rPr>
        <b/>
        <charset val="129"/>
        <color rgb="FFFF0000"/>
        <family val="3"/>
        <sz val="10"/>
        <rFont val="굴림"/>
      </rPr>
      <t xml:space="preserve">동의자 성명 :  </t>
    </r>
    <r>
      <rPr>
        <b/>
        <u/>
        <charset val="129"/>
        <color rgb="FFFF0000"/>
        <family val="3"/>
        <sz val="10"/>
        <rFont val="굴림"/>
      </rPr>
      <t xml:space="preserve">                          </t>
    </r>
    <r>
      <rPr>
        <b/>
        <charset val="129"/>
        <color rgb="FFFF0000"/>
        <family val="3"/>
        <sz val="10"/>
        <rFont val="굴림"/>
      </rPr>
      <t>(인)</t>
    </r>
  </si>
  <si>
    <t>교부등 확인</t>
  </si>
  <si>
    <r>
      <t xml:space="preserve"> 상기 근로조건을 확인하였으며, 그외 사항은 현장 취업규칙에 정한바에 따른다.  상기 근로계약서를 정히 교부받았음</t>
    </r>
    <r>
      <rPr>
        <b/>
        <u/>
        <charset val="129"/>
        <color indexed="10"/>
        <family val="3"/>
        <sz val="10"/>
        <rFont val="굴림"/>
      </rPr>
      <t xml:space="preserve">                     (인)</t>
    </r>
  </si>
  <si>
    <t>작성일 :    2025  .  05    .   02   .</t>
  </si>
  <si>
    <t xml:space="preserve">   사  용  자 ("갑")</t>
  </si>
  <si>
    <t xml:space="preserve"> 근  로  자 ("을")</t>
  </si>
  <si>
    <t>회사명/대표이사</t>
  </si>
  <si>
    <t>성      명</t>
  </si>
  <si>
    <r>
      <rPr>
        <charset val="129"/>
        <family val="3"/>
        <sz val="10"/>
        <rFont val="굴림"/>
      </rPr>
      <t xml:space="preserve">      </t>
    </r>
    <r>
      <rPr>
        <charset val="129"/>
        <color rgb="FFFF0000"/>
        <family val="3"/>
        <sz val="10"/>
        <rFont val="굴림"/>
      </rPr>
      <t xml:space="preserve">                   </t>
    </r>
    <r>
      <rPr>
        <charset val="129"/>
        <color indexed="55"/>
        <family val="3"/>
        <sz val="10"/>
        <rFont val="굴림"/>
      </rPr>
      <t xml:space="preserve"> (서명또는 날인)</t>
    </r>
  </si>
  <si>
    <t>본사주소</t>
  </si>
  <si>
    <t>서울시 마포구 희우정로16 ,8층 (합정동,리버아인)</t>
  </si>
  <si>
    <t>주      소</t>
  </si>
  <si>
    <t>현장주소</t>
  </si>
  <si>
    <t>서울 성수동 2가 273-12</t>
  </si>
  <si>
    <t>주민등록번호</t>
  </si>
  <si>
    <t>현장대리인(현장소장)</t>
  </si>
  <si>
    <t>고 성 수             (인)</t>
  </si>
  <si>
    <t>핸드폰번호</t>
  </si>
  <si>
    <r>
      <t xml:space="preserve"> </t>
    </r>
    <r>
      <rPr>
        <b/>
        <u/>
        <charset val="129"/>
        <color indexed="62"/>
        <family val="3"/>
        <sz val="10"/>
        <rFont val="굴림"/>
      </rPr>
      <t xml:space="preserve"> 2025. 02 . 01 .  ~</t>
    </r>
  </si>
  <si>
    <r>
      <t xml:space="preserve"> </t>
    </r>
    <r>
      <rPr>
        <b/>
        <u/>
        <charset val="129"/>
        <color indexed="62"/>
        <family val="3"/>
        <sz val="10"/>
        <rFont val="굴림"/>
      </rPr>
      <t xml:space="preserve"> 2025 . 02  . 28  .  (1개월)</t>
    </r>
  </si>
  <si>
    <t xml:space="preserve"> 5.“을”의 임금은 위“1항”에 기본일급에 위1항 ①호~⑤호 법정수당이 포함된     일급 ( </t>
  </si>
  <si>
    <r>
      <t xml:space="preserve">    연장 2.5시간 0.5공수)로 산정. 포괄일당 및  임금정책 변경시 시간급으로 산정하는데에 동의한다 </t>
    </r>
    <r>
      <rPr>
        <b/>
        <u/>
        <charset val="129"/>
        <family val="3"/>
        <sz val="10"/>
        <rFont val="굴림"/>
      </rPr>
      <t xml:space="preserve">:  동의자                 (인)  </t>
    </r>
  </si>
  <si>
    <r>
      <rPr>
        <charset val="129"/>
        <family val="3"/>
        <sz val="10"/>
        <rFont val="굴림"/>
      </rPr>
      <t xml:space="preserve">동의한다.  </t>
    </r>
    <r>
      <rPr>
        <b/>
        <charset val="129"/>
        <family val="3"/>
        <sz val="10"/>
        <rFont val="굴림"/>
      </rPr>
      <t xml:space="preserve">                                                                                                        </t>
    </r>
    <r>
      <rPr>
        <b/>
        <u/>
        <charset val="129"/>
        <family val="3"/>
        <sz val="10"/>
        <rFont val="굴림"/>
      </rPr>
      <t xml:space="preserve">동의자                   (인) </t>
    </r>
  </si>
  <si>
    <r>
      <t xml:space="preserve">1. 소정근로시간은 1일 8시간, 1주 40시간으로 하고, "을"의 동의를 얻은 경우 1주 12시간이내 연장근로 할 수 있다.
2. 시업시간  07:00 ~ 종업시간  17:00(월~토). 휴게시간 09:00~09:30(0.5h), 12:00~13:00(1h), 15:00~15:30(0.5h)로 한다.  출퇴근 시간,  식사.간식시간, 식사.간식을 위한 이동시간,  천재지변(비, 눈, 폭염. 강풍, 한파등 )으로 인한 휴게시간은 근로시간에 포함하지 않는다.  근로시간 및 휴게시간은 기후, 계절에 따라 조정될 수 있다. 우천등 천재지변으로 작업할 수 없음을 통보를 받은 경우는 출근해서는 안된다.  3. "을"은 시업시간 07:00( "갑"회사 현장소장으로 부터 작업지시를 받을 준비를 하여야 함)부터  종업시간17:00 (작업장의 정리,   정돈을  마치고 당해 작업장을 벗어나는 시간)동안 현장관리자의 작업지시에 따라 성실하게 근무하여야 한다
4.  2주단위 탄력적근로시간제에 의거 1주는 60시간(=48h+12h), 2주는 44h(=32h+12h) 초과하지 않는 범위내에서 근로할 수 있으며, 근로자대표와 서면합의시에는 3개월단위 탄력적 근로시간제(1주 최대64h, 1일 최대 12h), 1개월 단위 선택적근로시간제로 근로할 수 있다   
                                              1주 12시간 이내 연장근로 시행에 동의함    </t>
    </r>
    <r>
      <rPr>
        <b/>
        <u/>
        <charset val="129"/>
        <family val="3"/>
        <sz val="10"/>
        <rFont val="굴림"/>
      </rPr>
      <t>동의자 성명 :                (인)</t>
    </r>
  </si>
  <si>
    <r>
      <t xml:space="preserve">1. “을”이 계약기간 중 퇴직하고자 할 경우에는 5일전에 현장소장에게 통보하여야 한다.  2. "을"은 현장에 최초 출근하여 수습 7일 동안 기능도를  테스트한 후  기능공(도면을 볼 수 있어야 하며 해당경력 5년이상 모두 충족),  준기능공, 양성공 선별.급여책정 및 채용 여부가 결정된다.  근로계약 작성을 거부하거나 기능요건에 충족되지 않을 경우 본 계약이 취소된다.  3. 채용 및 해고는 현장소장이 서면통보가 있는 경우에만 유효하고, 그외  팀/반장의 채용결정. 출역금지등 인사조치는 효력이 없다
4.  개인정보(성명, 주민등록번호,주소, 전화번호)를 현장내 출입관리, 공사 및 노무관리에 활용할 수 있도록 원청 및 발주처 관계자에게 제공하고 활용하는데 이의없이 동의합니다.             개</t>
    </r>
    <r>
      <rPr>
        <u/>
        <charset val="129"/>
        <family val="3"/>
        <sz val="10"/>
        <rFont val="굴림"/>
      </rPr>
      <t xml:space="preserve">인정보제공 동의자  성명 :                           (인) 
</t>
    </r>
    <r>
      <rPr>
        <charset val="129"/>
        <family val="3"/>
        <sz val="10"/>
        <rFont val="굴림"/>
      </rPr>
      <t xml:space="preserve">5. "을"은 "갑"의 타 현장에서 자발적사직/계약기간 만료 되었음을 확인하며  본 계약 이후 근로관계가 새로이 시작되는 것에 이의없이 
    동의합니다 (* 현장 최초출역일에만 작성)                                       동의자 성명 : </t>
    </r>
    <r>
      <rPr>
        <b/>
        <u/>
        <charset val="129"/>
        <family val="3"/>
        <sz val="10"/>
        <rFont val="굴림"/>
      </rPr>
      <t xml:space="preserve">               (인)</t>
    </r>
  </si>
  <si>
    <r>
      <t xml:space="preserve">2. 상기 안전보호구 수령확인 및 근로계약/취업규칙 내용을 확인하고 이행함을 동의합니다.        </t>
    </r>
    <r>
      <rPr>
        <b/>
        <charset val="129"/>
        <family val="3"/>
        <sz val="10"/>
        <rFont val="굴림"/>
      </rPr>
      <t xml:space="preserve">동의자 성명 :  </t>
    </r>
    <r>
      <rPr>
        <b/>
        <u/>
        <charset val="129"/>
        <family val="3"/>
        <sz val="10"/>
        <rFont val="굴림"/>
      </rPr>
      <t xml:space="preserve">              </t>
    </r>
    <r>
      <rPr>
        <b/>
        <charset val="129"/>
        <family val="3"/>
        <sz val="10"/>
        <rFont val="굴림"/>
      </rPr>
      <t>(인)</t>
    </r>
  </si>
  <si>
    <r>
      <t xml:space="preserve"> 상기 근로조건을 확인하였으며, 그외 사항은 현장 취업규칙에 정한바에 따른다.  상기 근로계약서를 정히 교부받았음</t>
    </r>
    <r>
      <rPr>
        <b/>
        <u/>
        <charset val="129"/>
        <family val="3"/>
        <sz val="10"/>
        <rFont val="굴림"/>
      </rPr>
      <t xml:space="preserve">           (인)</t>
    </r>
  </si>
  <si>
    <t>작성일 :    2025  .  02      .        .</t>
  </si>
  <si>
    <r>
      <t xml:space="preserve">                     </t>
    </r>
    <r>
      <rPr>
        <charset val="129"/>
        <color indexed="55"/>
        <family val="3"/>
        <sz val="10"/>
        <rFont val="굴림"/>
      </rPr>
      <t xml:space="preserve"> (서명또는 날인)</t>
    </r>
  </si>
  <si>
    <t xml:space="preserve">                       </t>
  </si>
  <si>
    <r>
      <t xml:space="preserve"> </t>
    </r>
    <r>
      <rPr>
        <b/>
        <u/>
        <charset val="129"/>
        <color indexed="62"/>
        <family val="3"/>
        <sz val="10"/>
        <rFont val="굴림"/>
      </rPr>
      <t xml:space="preserve"> 2025. 03 . 01 .  ~</t>
    </r>
  </si>
  <si>
    <r>
      <t xml:space="preserve"> </t>
    </r>
    <r>
      <rPr>
        <b/>
        <u/>
        <charset val="129"/>
        <color indexed="62"/>
        <family val="3"/>
        <sz val="10"/>
        <rFont val="굴림"/>
      </rPr>
      <t xml:space="preserve"> 2025 . 03  . 31  .  (1개월)</t>
    </r>
  </si>
  <si>
    <r>
      <t xml:space="preserve">    연장 2.5시간 0.5공수)로 산정. 포괄일당 및  임금정책 변경시 시간급으로 산정하는데에 동의한다 </t>
    </r>
    <r>
      <rPr>
        <b/>
        <u/>
        <charset val="129"/>
        <color indexed="30"/>
        <family val="3"/>
        <sz val="10"/>
        <rFont val="굴림"/>
      </rPr>
      <t xml:space="preserve">:  </t>
    </r>
    <r>
      <rPr>
        <b/>
        <u/>
        <charset val="129"/>
        <color indexed="10"/>
        <family val="3"/>
        <sz val="10"/>
        <rFont val="굴림"/>
      </rPr>
      <t xml:space="preserve">동의자                           (인)  </t>
    </r>
    <r>
      <rPr>
        <charset val="129"/>
        <family val="3"/>
        <sz val="10"/>
        <rFont val="굴림"/>
      </rPr>
      <t/>
    </r>
  </si>
  <si>
    <r>
      <rPr>
        <charset val="129"/>
        <color theme="1"/>
        <family val="3"/>
        <sz val="10"/>
        <rFont val="굴림"/>
      </rPr>
      <t xml:space="preserve">동의한다.  </t>
    </r>
    <r>
      <rPr>
        <b/>
        <charset val="129"/>
        <color rgb="FFFF0000"/>
        <family val="3"/>
        <sz val="10"/>
        <rFont val="굴림"/>
      </rPr>
      <t xml:space="preserve">                                                                                                        </t>
    </r>
    <r>
      <rPr>
        <b/>
        <u/>
        <charset val="129"/>
        <color rgb="FFFF0000"/>
        <family val="3"/>
        <sz val="10"/>
        <rFont val="굴림"/>
      </rPr>
      <t xml:space="preserve">동의자                           (인) </t>
    </r>
  </si>
  <si>
    <r>
      <t xml:space="preserve">1. “을”이 계약기간 중 퇴직하고자 할 경우에는 5일전에 현장소장에게 통보하여야 한다.  2. "을"은 현장에 최초 출근하여 수습 7일 동안 기능도를  테스트한 후  기능공(도면을 볼 수 있어야 하며 해당경력 5년이상 모두 충족),  준기능공, 양성공 선별.급여책정 및 채용 여부가 결정된다.  근로계약 작성을 거부하거나 기능요건에 충족되지 않을 경우 본 계약이 취소된다.  3. 채용 및 해고는 현장소장이 서면통보가 있는 경우에만 유효하고, 그외  팀/반장의 채용결정. 출역금지등 인사조치는 효력이 없다
4.  개인정보(성명, 주민등록번호,주소, 전화번호)를 현장내 출입관리, 공사 및 노무관리에 활용할 수 있도록 원청 및 발주처 관계자에게 제공하고 활용하는데 이의없이 동의합니다. </t>
    </r>
    <r>
      <rPr>
        <charset val="129"/>
        <color indexed="10"/>
        <family val="3"/>
        <sz val="10"/>
        <rFont val="굴림"/>
      </rPr>
      <t xml:space="preserve">            개</t>
    </r>
    <r>
      <rPr>
        <u/>
        <charset val="129"/>
        <color indexed="10"/>
        <family val="3"/>
        <sz val="10"/>
        <rFont val="굴림"/>
      </rPr>
      <t xml:space="preserve">인정보제공 동의자  성명 :                                 (인) 
</t>
    </r>
    <r>
      <rPr>
        <charset val="129"/>
        <color indexed="18"/>
        <family val="3"/>
        <sz val="10"/>
        <rFont val="굴림"/>
      </rPr>
      <t xml:space="preserve">5. "을"은 "갑"의 타 현장에서 자발적사직/계약기간 만료 되었음을 확인하며  본 계약 이후 근로관계가 새로이 시작되는 것에 이의없이 
    동의합니다 (* 현장 최초출역일에만 작성)                                       </t>
    </r>
    <r>
      <rPr>
        <charset val="129"/>
        <color indexed="10"/>
        <family val="3"/>
        <sz val="10"/>
        <rFont val="굴림"/>
      </rPr>
      <t xml:space="preserve">동의자 성명 : </t>
    </r>
    <r>
      <rPr>
        <b/>
        <u/>
        <charset val="129"/>
        <color indexed="10"/>
        <family val="3"/>
        <sz val="10"/>
        <rFont val="굴림"/>
      </rPr>
      <t xml:space="preserve">                                     (인)</t>
    </r>
  </si>
  <si>
    <r>
      <t xml:space="preserve">2. 상기 안전보호구 수령확인 및 근로계약/취업규칙 내용을 확인하고 이행함을 동의합니다.        </t>
    </r>
    <r>
      <rPr>
        <b/>
        <charset val="129"/>
        <color rgb="FFFF0000"/>
        <family val="3"/>
        <sz val="10"/>
        <rFont val="굴림"/>
      </rPr>
      <t xml:space="preserve">동의자 성명 :  </t>
    </r>
    <r>
      <rPr>
        <b/>
        <u/>
        <charset val="129"/>
        <color rgb="FFFF0000"/>
        <family val="3"/>
        <sz val="10"/>
        <rFont val="굴림"/>
      </rPr>
      <t xml:space="preserve">                                    </t>
    </r>
    <r>
      <rPr>
        <b/>
        <charset val="129"/>
        <color rgb="FFFF0000"/>
        <family val="3"/>
        <sz val="10"/>
        <rFont val="굴림"/>
      </rPr>
      <t>(인)</t>
    </r>
  </si>
  <si>
    <r>
      <t xml:space="preserve"> 상기 근로조건을 확인하였으며, 그외 사항은 현장 취업규칙에 정한바에 따른다.  상기 근로계약서를 정히 교부받았음</t>
    </r>
    <r>
      <rPr>
        <b/>
        <u/>
        <charset val="129"/>
        <color indexed="10"/>
        <family val="3"/>
        <sz val="10"/>
        <rFont val="굴림"/>
      </rPr>
      <t xml:space="preserve">                          (인)</t>
    </r>
  </si>
  <si>
    <t>작성일 :    2025  .  03     .        .</t>
  </si>
  <si>
    <r>
      <t xml:space="preserve">                                    </t>
    </r>
    <r>
      <rPr>
        <charset val="129"/>
        <color indexed="55"/>
        <family val="3"/>
        <sz val="10"/>
        <rFont val="굴림"/>
      </rPr>
      <t xml:space="preserve"> (서명또는 날인)</t>
    </r>
  </si>
  <si>
    <r>
      <t xml:space="preserve"> </t>
    </r>
    <r>
      <rPr>
        <b/>
        <u/>
        <charset val="129"/>
        <color indexed="62"/>
        <family val="3"/>
        <sz val="10"/>
        <rFont val="굴림"/>
      </rPr>
      <t xml:space="preserve"> 2025. 04 . 01 .  ~</t>
    </r>
  </si>
  <si>
    <r>
      <t xml:space="preserve"> </t>
    </r>
    <r>
      <rPr>
        <b/>
        <u/>
        <charset val="129"/>
        <color indexed="62"/>
        <family val="3"/>
        <sz val="10"/>
        <rFont val="굴림"/>
      </rPr>
      <t xml:space="preserve"> 2025 . 04  . 30  .  (1개월)</t>
    </r>
  </si>
  <si>
    <t>작성일 :    2025  .  04    .        .</t>
  </si>
  <si>
    <r>
      <t xml:space="preserve"> </t>
    </r>
    <r>
      <rPr>
        <b/>
        <u/>
        <charset val="129"/>
        <color indexed="62"/>
        <family val="3"/>
        <sz val="10"/>
        <rFont val="굴림"/>
      </rPr>
      <t xml:space="preserve"> 2025. 05 . 01 .  ~</t>
    </r>
  </si>
  <si>
    <r>
      <t xml:space="preserve"> </t>
    </r>
    <r>
      <rPr>
        <b/>
        <u/>
        <charset val="129"/>
        <color indexed="62"/>
        <family val="3"/>
        <sz val="10"/>
        <rFont val="굴림"/>
      </rPr>
      <t xml:space="preserve"> 2025 . 05  . 31  .  (1개월)</t>
    </r>
  </si>
  <si>
    <t>작성일 :    2025  .  05    .        .</t>
  </si>
  <si>
    <t xml:space="preserve">                                     (서명또는 날인)</t>
  </si>
  <si>
    <t xml:space="preserve">      '(인)</t>
  </si>
  <si>
    <r>
      <t xml:space="preserve"> </t>
    </r>
    <r>
      <rPr>
        <b/>
        <u/>
        <charset val="129"/>
        <color indexed="62"/>
        <family val="3"/>
        <sz val="10"/>
        <rFont val="굴림"/>
      </rPr>
      <t xml:space="preserve"> 2025. 06 . 01 .  ~</t>
    </r>
  </si>
  <si>
    <r>
      <t xml:space="preserve"> </t>
    </r>
    <r>
      <rPr>
        <b/>
        <u/>
        <charset val="129"/>
        <color indexed="62"/>
        <family val="3"/>
        <sz val="10"/>
        <rFont val="굴림"/>
      </rPr>
      <t xml:space="preserve"> 2025 . 06  . 30  .  (1개월)</t>
    </r>
  </si>
  <si>
    <r>
      <t xml:space="preserve">    연장 2.5시간 0.5공수)로 산정. 포괄일당 및  임금정책 변경시 시간급으로 산정하는데에 동의한다 </t>
    </r>
    <r>
      <rPr>
        <b/>
        <u/>
        <charset val="129"/>
        <color indexed="30"/>
        <family val="3"/>
        <sz val="10"/>
        <rFont val="굴림"/>
      </rPr>
      <t xml:space="preserve">:  </t>
    </r>
    <r>
      <rPr>
        <b/>
        <u/>
        <charset val="129"/>
        <color indexed="10"/>
        <family val="3"/>
        <sz val="10"/>
        <rFont val="굴림"/>
      </rPr>
      <t xml:space="preserve">동의자                          (인)  </t>
    </r>
  </si>
  <si>
    <t>작성일 :    2025  . 06    .        .</t>
  </si>
  <si>
    <t>직영</t>
  </si>
  <si>
    <r>
      <t xml:space="preserve"> </t>
    </r>
    <r>
      <rPr>
        <b/>
        <u/>
        <charset val="129"/>
        <color indexed="62"/>
        <family val="3"/>
        <sz val="10"/>
        <rFont val="굴림"/>
      </rPr>
      <t xml:space="preserve"> 2025. 07 . 01 .  ~</t>
    </r>
  </si>
  <si>
    <r>
      <t xml:space="preserve"> </t>
    </r>
    <r>
      <rPr>
        <b/>
        <u/>
        <charset val="129"/>
        <color indexed="62"/>
        <family val="3"/>
        <sz val="10"/>
        <rFont val="굴림"/>
      </rPr>
      <t xml:space="preserve"> 2025 . 07  . 31  .  (1개월)</t>
    </r>
  </si>
  <si>
    <t>작성일 :    2025  .   07     .        .</t>
  </si>
  <si>
    <t xml:space="preserve">    '(인)</t>
  </si>
  <si>
    <r>
      <t xml:space="preserve"> </t>
    </r>
    <r>
      <rPr>
        <b/>
        <u/>
        <charset val="129"/>
        <color indexed="62"/>
        <family val="3"/>
        <sz val="10"/>
        <rFont val="굴림"/>
      </rPr>
      <t xml:space="preserve"> 2025. 08 . 01 .  ~</t>
    </r>
  </si>
  <si>
    <r>
      <t xml:space="preserve"> </t>
    </r>
    <r>
      <rPr>
        <b/>
        <u/>
        <charset val="129"/>
        <color indexed="62"/>
        <family val="3"/>
        <sz val="10"/>
        <rFont val="굴림"/>
      </rPr>
      <t xml:space="preserve"> 2025 . 08  . 31  .  (1개월)</t>
    </r>
  </si>
  <si>
    <t>작성일 :    2025  .  08     .        .</t>
  </si>
  <si>
    <t xml:space="preserve">           (서명또는 날인)</t>
  </si>
  <si>
    <t xml:space="preserve">        '(인)</t>
  </si>
  <si>
    <r>
      <t xml:space="preserve"> </t>
    </r>
    <r>
      <rPr>
        <b/>
        <u/>
        <charset val="129"/>
        <color indexed="62"/>
        <family val="3"/>
        <sz val="10"/>
        <rFont val="굴림"/>
      </rPr>
      <t xml:space="preserve"> 2025. 09 . 01 .  ~</t>
    </r>
  </si>
  <si>
    <r>
      <t xml:space="preserve"> </t>
    </r>
    <r>
      <rPr>
        <b/>
        <u/>
        <charset val="129"/>
        <color indexed="62"/>
        <family val="3"/>
        <sz val="10"/>
        <rFont val="굴림"/>
      </rPr>
      <t xml:space="preserve"> 2025 . 09  . 30  .  (1개월)</t>
    </r>
  </si>
  <si>
    <r>
      <t xml:space="preserve">    연장 2.5시간 0.5공수)로 산정. 포괄일당 및  임금정책 변경시 시간급으로 산정하는데에 동의한다 </t>
    </r>
    <r>
      <rPr>
        <b/>
        <u/>
        <charset val="129"/>
        <color indexed="30"/>
        <family val="3"/>
        <sz val="10"/>
        <rFont val="굴림"/>
      </rPr>
      <t xml:space="preserve">:  </t>
    </r>
    <r>
      <rPr>
        <b/>
        <u/>
        <charset val="129"/>
        <color indexed="10"/>
        <family val="3"/>
        <sz val="10"/>
        <rFont val="굴림"/>
      </rPr>
      <t xml:space="preserve">동의자                     (인)  </t>
    </r>
  </si>
  <si>
    <r>
      <rPr>
        <charset val="129"/>
        <color theme="1"/>
        <family val="3"/>
        <sz val="10"/>
        <rFont val="굴림"/>
      </rPr>
      <t xml:space="preserve">동의한다.  </t>
    </r>
    <r>
      <rPr>
        <b/>
        <charset val="129"/>
        <color rgb="FFFF0000"/>
        <family val="3"/>
        <sz val="10"/>
        <rFont val="굴림"/>
      </rPr>
      <t xml:space="preserve">                                                                                                        </t>
    </r>
    <r>
      <rPr>
        <b/>
        <u/>
        <charset val="129"/>
        <color rgb="FFFF0000"/>
        <family val="3"/>
        <sz val="10"/>
        <rFont val="굴림"/>
      </rPr>
      <t xml:space="preserve">동의자                        (인) </t>
    </r>
  </si>
  <si>
    <r>
      <t xml:space="preserve">1. 소정근로시간은 1일 8시간, 1주 40시간으로 하고, "을"의 동의를 얻은 경우 1주 12시간이내 연장근로 할 수 있다.
2. 시업시간  07:00 ~ 종업시간  17:00(월~토). 휴게시간 09:00~09:30(0.5h), 12:00~13:00(1h), 15:00~15:30(0.5h)로 한다.  출퇴근 시간,  식사.간식시간, 식사.간식을 위한 이동시간,  천재지변(비, 눈, 폭염. 강풍, 한파등 )으로 인한 휴게시간은 근로시간에 포함하지 않는다.  근로시간 및 휴게시간은 기후, 계절에 따라 조정될 수 있다. 우천등 천재지변으로 작업할 수 없음을 통보를 받은 경우는 출근해서는 안된다.  3. "을"은 시업시간 07:00( "갑"회사 현장소장으로 부터 작업지시를 받을 준비를 하여야 함)부터  종업시간17:00 (작업장의 정리,   정돈을  마치고 당해 작업장을 벗어나는 시간)동안 현장관리자의 작업지시에 따라 성실하게 근무하여야 한다
4.  2주단위 탄력적근로시간제에 의거 1주는 60시간(=48h+12h), 2주는 44h(=32h+12h) 초과하지 않는 범위내에서 근로할 수 있으며, 근로자대표와 서면합의시에는 3개월단위 탄력적 근로시간제(1주 최대64h, 1일 최대 12h), 1개월 단위 선택적근로시간제로 근로할 수 있다   
                                              1주 12시간 이내 연장근로 시행에 동의함    </t>
    </r>
    <r>
      <rPr>
        <b/>
        <u/>
        <charset val="129"/>
        <color indexed="10"/>
        <family val="3"/>
        <sz val="10"/>
        <rFont val="굴림"/>
      </rPr>
      <t>동의자 성명 :                      (인)</t>
    </r>
  </si>
  <si>
    <r>
      <t xml:space="preserve">1. “을”이 계약기간 중 퇴직하고자 할 경우에는 5일전에 현장소장에게 통보하여야 한다.  2. "을"은 현장에 최초 출근하여 수습 7일 동안 기능도를  테스트한 후  기능공(도면을 볼 수 있어야 하며 해당경력 5년이상 모두 충족),  준기능공, 양성공 선별.급여책정 및 채용 여부가 결정된다.  근로계약 작성을 거부하거나 기능요건에 충족되지 않을 경우 본 계약이 취소된다.  3. 채용 및 해고는 현장소장이 서면통보가 있는 경우에만 유효하고, 그외  팀/반장의 채용결정. 출역금지등 인사조치는 효력이 없다
4.  개인정보(성명, 주민등록번호,주소, 전화번호)를 현장내 출입관리, 공사 및 노무관리에 활용할 수 있도록 원청 및 발주처 관계자에게 제공하고 활용하는데 이의없이 동의합니다. </t>
    </r>
    <r>
      <rPr>
        <charset val="129"/>
        <color indexed="10"/>
        <family val="3"/>
        <sz val="10"/>
        <rFont val="굴림"/>
      </rPr>
      <t xml:space="preserve">            개</t>
    </r>
    <r>
      <rPr>
        <u/>
        <charset val="129"/>
        <color indexed="10"/>
        <family val="3"/>
        <sz val="10"/>
        <rFont val="굴림"/>
      </rPr>
      <t xml:space="preserve">인정보제공 동의자  성명 :                             (인) 
</t>
    </r>
    <r>
      <rPr>
        <charset val="129"/>
        <color indexed="18"/>
        <family val="3"/>
        <sz val="10"/>
        <rFont val="굴림"/>
      </rPr>
      <t xml:space="preserve">5. "을"은 "갑"의 타 현장에서 자발적사직/계약기간 만료 되었음을 확인하며  본 계약 이후 근로관계가 새로이 시작되는 것에 이의없이 
    동의합니다 (* 현장 최초출역일에만 작성)                                       </t>
    </r>
    <r>
      <rPr>
        <charset val="129"/>
        <color indexed="10"/>
        <family val="3"/>
        <sz val="10"/>
        <rFont val="굴림"/>
      </rPr>
      <t xml:space="preserve">동의자 성명 : </t>
    </r>
    <r>
      <rPr>
        <b/>
        <u/>
        <charset val="129"/>
        <color indexed="10"/>
        <family val="3"/>
        <sz val="10"/>
        <rFont val="굴림"/>
      </rPr>
      <t xml:space="preserve">                                (인)</t>
    </r>
  </si>
  <si>
    <r>
      <t xml:space="preserve">2. 상기 안전보호구 수령확인 및 근로계약/취업규칙 내용을 확인하고 이행함을 동의합니다.        </t>
    </r>
    <r>
      <rPr>
        <b/>
        <charset val="129"/>
        <color rgb="FFFF0000"/>
        <family val="3"/>
        <sz val="10"/>
        <rFont val="굴림"/>
      </rPr>
      <t xml:space="preserve">동의자 성명 :  </t>
    </r>
    <r>
      <rPr>
        <b/>
        <u/>
        <charset val="129"/>
        <color rgb="FFFF0000"/>
        <family val="3"/>
        <sz val="10"/>
        <rFont val="굴림"/>
      </rPr>
      <t xml:space="preserve">                        </t>
    </r>
    <r>
      <rPr>
        <b/>
        <charset val="129"/>
        <color rgb="FFFF0000"/>
        <family val="3"/>
        <sz val="10"/>
        <rFont val="굴림"/>
      </rPr>
      <t>(인)</t>
    </r>
  </si>
  <si>
    <r>
      <t xml:space="preserve"> 상기 근로조건을 확인하였으며, 그외 사항은 현장 취업규칙에 정한바에 따른다.  상기 근로계약서를 정히 교부받았음</t>
    </r>
    <r>
      <rPr>
        <b/>
        <u/>
        <charset val="129"/>
        <color indexed="10"/>
        <family val="3"/>
        <sz val="10"/>
        <rFont val="굴림"/>
      </rPr>
      <t xml:space="preserve">                   (인)</t>
    </r>
  </si>
  <si>
    <t>작성일 :    2025  .  09    .        .</t>
  </si>
  <si>
    <r>
      <rPr>
        <charset val="129"/>
        <color theme="1"/>
        <family val="3"/>
        <sz val="10"/>
        <rFont val="굴림"/>
      </rPr>
      <t xml:space="preserve">   </t>
    </r>
    <r>
      <rPr>
        <charset val="129"/>
        <color rgb="FFFF0000"/>
        <family val="3"/>
        <sz val="10"/>
        <rFont val="굴림"/>
      </rPr>
      <t xml:space="preserve">                      </t>
    </r>
    <r>
      <rPr>
        <charset val="129"/>
        <color indexed="55"/>
        <family val="3"/>
        <sz val="10"/>
        <rFont val="굴림"/>
      </rPr>
      <t xml:space="preserve"> (서명또는 날인)</t>
    </r>
  </si>
  <si>
    <t xml:space="preserve">            '(인)</t>
  </si>
  <si>
    <r>
      <t xml:space="preserve"> </t>
    </r>
    <r>
      <rPr>
        <b/>
        <u/>
        <charset val="129"/>
        <color indexed="62"/>
        <family val="3"/>
        <sz val="10"/>
        <rFont val="굴림"/>
      </rPr>
      <t xml:space="preserve"> 2025. 10 . 01 .  ~</t>
    </r>
  </si>
  <si>
    <r>
      <t xml:space="preserve"> </t>
    </r>
    <r>
      <rPr>
        <b/>
        <u/>
        <charset val="129"/>
        <color indexed="62"/>
        <family val="3"/>
        <sz val="10"/>
        <rFont val="굴림"/>
      </rPr>
      <t xml:space="preserve"> 2025 . 10  . 31  .  (1개월)</t>
    </r>
  </si>
  <si>
    <t>작성일 :    2025  .  10     .        .</t>
  </si>
  <si>
    <r>
      <t xml:space="preserve"> </t>
    </r>
    <r>
      <rPr>
        <b/>
        <u/>
        <charset val="129"/>
        <color indexed="62"/>
        <family val="3"/>
        <sz val="10"/>
        <rFont val="굴림"/>
      </rPr>
      <t xml:space="preserve"> 2025. 11 . 01 .  ~</t>
    </r>
  </si>
  <si>
    <r>
      <t xml:space="preserve"> </t>
    </r>
    <r>
      <rPr>
        <b/>
        <u/>
        <charset val="129"/>
        <color indexed="62"/>
        <family val="3"/>
        <sz val="10"/>
        <rFont val="굴림"/>
      </rPr>
      <t xml:space="preserve"> 2025 . 11  . 30  .  (1개월)</t>
    </r>
  </si>
  <si>
    <t>작성일 :    2025  .  11     .        .</t>
  </si>
  <si>
    <r>
      <t xml:space="preserve"> </t>
    </r>
    <r>
      <rPr>
        <b/>
        <u/>
        <charset val="129"/>
        <color indexed="62"/>
        <family val="3"/>
        <sz val="10"/>
        <rFont val="굴림"/>
      </rPr>
      <t xml:space="preserve"> 2025. 12 . 01 .  ~</t>
    </r>
  </si>
  <si>
    <r>
      <t xml:space="preserve"> </t>
    </r>
    <r>
      <rPr>
        <b/>
        <u/>
        <charset val="129"/>
        <color indexed="62"/>
        <family val="3"/>
        <sz val="10"/>
        <rFont val="굴림"/>
      </rPr>
      <t xml:space="preserve"> 2025 . 12  . 31  .  (1개월)</t>
    </r>
  </si>
  <si>
    <t>작성일 :    2025  .  12     .        .</t>
  </si>
  <si>
    <t xml:space="preserve">                                           (서명또는 날인)</t>
  </si>
  <si>
    <t xml:space="preserve">  '(인)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</si>
</sst>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_-* #,##0_-;-* #,##0_-;_-* &quot;-&quot;_-;_-@_-"/>
    <numFmt numFmtId="165" formatCode="&quot;₩&quot;#,##0_);[Red](&quot;₩&quot;#,##0)"/>
    <numFmt numFmtId="166" formatCode="_-* #,##0.00_-;-* #,##0.00_-;_-* &quot;-&quot;_-;_-@_-"/>
    <numFmt numFmtId="167" formatCode="0.00_ "/>
    <numFmt numFmtId="168" formatCode="_-&quot;₩&quot;* #,##0_-;-&quot;₩&quot;* #,##0_-;_-&quot;₩&quot;* &quot;-&quot;_-;_-@_-"/>
    <numFmt numFmtId="169" formatCode="&quot;₩&quot;#,##0"/>
    <numFmt numFmtId="170" formatCode="&quot;₩&quot;#,##0.00_);[Red](&quot;₩&quot;#,##0.00)"/>
  </numFmts>
  <fonts count="35" x14ac:knownFonts="1">
    <font>
      <color theme="1"/>
      <family val="2"/>
      <scheme val="minor"/>
      <sz val="11"/>
      <name val="Calibri"/>
    </font>
    <font>
      <charset val="129"/>
      <family val="3"/>
      <sz val="11"/>
      <name val="돋움"/>
    </font>
    <font>
      <charset val="129"/>
      <color theme="1"/>
      <family val="2"/>
      <scheme val="minor"/>
      <sz val="11"/>
      <name val="맑은 고딕"/>
    </font>
    <font>
      <b/>
      <charset val="129"/>
      <family val="3"/>
      <sz val="10"/>
      <name val="굴림체"/>
    </font>
    <font>
      <charset val="129"/>
      <family val="3"/>
      <sz val="10"/>
      <name val="굴림체"/>
    </font>
    <font>
      <b/>
      <charset val="129"/>
      <family val="3"/>
      <scheme val="major"/>
      <sz val="16"/>
      <name val="맑은 고딕"/>
    </font>
    <font>
      <charset val="129"/>
      <color theme="1"/>
      <family val="1"/>
      <sz val="26"/>
      <name val="HY헤드라인M"/>
    </font>
    <font>
      <charset val="129"/>
      <family val="1"/>
      <sz val="16"/>
      <name val="HY울릉도M"/>
    </font>
    <font>
      <b/>
      <charset val="129"/>
      <color theme="5" tint="-0.249977111117893"/>
      <family val="3"/>
      <scheme val="major"/>
      <sz val="16"/>
      <name val="맑은 고딕"/>
    </font>
    <font>
      <b/>
      <u/>
      <charset val="129"/>
      <family val="3"/>
      <sz val="10"/>
      <name val="굴림"/>
    </font>
    <font>
      <charset val="129"/>
      <family val="3"/>
      <sz val="10"/>
      <name val="굴림"/>
    </font>
    <font>
      <charset val="129"/>
      <color theme="1"/>
      <family val="3"/>
      <sz val="11"/>
      <name val="굴림"/>
    </font>
    <font>
      <b/>
      <charset val="129"/>
      <family val="3"/>
      <scheme val="major"/>
      <sz val="11"/>
      <name val="맑은 고딕"/>
    </font>
    <font>
      <b/>
      <charset val="129"/>
      <color theme="1"/>
      <family val="3"/>
      <scheme val="major"/>
      <sz val="11"/>
      <name val="맑은 고딕"/>
    </font>
    <font>
      <b/>
      <charset val="129"/>
      <family val="3"/>
      <sz val="10"/>
      <name val="굴림"/>
    </font>
    <font>
      <b/>
      <charset val="129"/>
      <family val="3"/>
      <sz val="11"/>
      <name val="돋움"/>
    </font>
    <font>
      <b/>
      <charset val="129"/>
      <family val="3"/>
      <sz val="9"/>
      <name val="굴림"/>
    </font>
    <font>
      <charset val="129"/>
      <color theme="1"/>
      <family val="3"/>
      <scheme val="major"/>
      <sz val="11"/>
      <name val="맑은 고딕"/>
    </font>
    <font>
      <charset val="129"/>
      <family val="3"/>
      <scheme val="minor"/>
      <sz val="10"/>
      <name val="맑은 고딕"/>
    </font>
    <font>
      <b/>
      <charset val="129"/>
      <color rgb="FFFF0000"/>
      <family val="3"/>
      <sz val="11"/>
      <name val="돋움"/>
    </font>
    <font>
      <b/>
      <charset val="129"/>
      <color rgb="FFFF0000"/>
      <family val="3"/>
      <sz val="10"/>
      <name val="굴림"/>
    </font>
    <font>
      <b/>
      <charset val="129"/>
      <color theme="1"/>
      <family val="3"/>
      <scheme val="major"/>
      <sz val="10"/>
      <name val="맑은 고딕"/>
    </font>
    <font>
      <b/>
      <charset val="129"/>
      <color rgb="FF0070C0"/>
      <family val="3"/>
      <sz val="11"/>
      <name val="돋움"/>
    </font>
    <font>
      <b/>
      <charset val="129"/>
      <color rgb="FF0070C0"/>
      <family val="1"/>
      <sz val="11"/>
      <name val="HY강B"/>
    </font>
    <font>
      <b/>
      <u/>
      <charset val="129"/>
      <color rgb="FFFF0000"/>
      <family val="3"/>
      <sz val="10"/>
      <name val="굴림"/>
    </font>
    <font>
      <charset val="129"/>
      <color theme="1"/>
      <family val="3"/>
      <sz val="10"/>
      <name val="굴림"/>
    </font>
    <font>
      <charset val="129"/>
      <color rgb="FFFF0000"/>
      <family val="3"/>
      <scheme val="minor"/>
      <sz val="10"/>
      <name val="맑은 고딕"/>
    </font>
    <font>
      <b/>
      <charset val="129"/>
      <color rgb="FF0070C0"/>
      <family val="3"/>
      <sz val="10"/>
      <name val="굴림"/>
    </font>
    <font>
      <charset val="129"/>
      <family val="3"/>
      <sz val="8"/>
      <name val="굴림"/>
    </font>
    <font>
      <charset val="129"/>
      <color theme="2" tint="-0.0999786370433668"/>
      <family val="3"/>
      <sz val="10"/>
      <name val="굴림"/>
    </font>
    <font>
      <charset val="129"/>
      <color theme="0"/>
      <family val="3"/>
      <sz val="10"/>
      <name val="굴림"/>
    </font>
    <font>
      <charset val="129"/>
      <color rgb="FFFF0000"/>
      <family val="3"/>
      <sz val="10"/>
      <name val="굴림"/>
    </font>
    <font>
      <charset val="129"/>
      <color rgb="FF000000"/>
      <family val="3"/>
      <sz val="10"/>
      <name val="굴림체"/>
    </font>
    <font>
      <charset val="129"/>
      <color theme="1"/>
      <family val="3"/>
      <sz val="10"/>
      <name val="굴림체"/>
    </font>
    <font>
      <b/>
      <charset val="129"/>
      <color rgb="FFFF0000"/>
      <family val="3"/>
      <sz val="10"/>
      <name val="굴림체"/>
    </font>
  </fonts>
  <fills count="8">
    <fill>
      <patternFill patternType="none"/>
    </fill>
    <fill>
      <patternFill patternType="gray125"/>
    </fill>
    <fill>
      <patternFill patternType="solid">
        <fgColor rgb="FFFFFF99"/>
        <bgColor indexed="64"/>
      </patternFill>
    </fill>
    <fill>
      <patternFill patternType="solid">
        <fgColor theme="8" tint="0.7999816888943144"/>
        <bgColor indexed="64"/>
      </patternFill>
    </fill>
    <fill>
      <patternFill patternType="solid">
        <fgColor theme="2" tint="-0.0999786370433668"/>
        <bgColor indexed="64"/>
      </patternFill>
    </fill>
    <fill>
      <patternFill patternType="solid">
        <fgColor rgb="FFFFFF00"/>
        <bgColor indexed="64"/>
      </patternFill>
    </fill>
    <fill>
      <patternFill patternType="solid">
        <fgColor theme="0"/>
        <bgColor indexed="64"/>
      </patternFill>
    </fill>
    <fill>
      <patternFill patternType="solid">
        <fgColor theme="0" tint="-0.0499893185216834"/>
        <bgColor indexed="64"/>
      </patternFill>
    </fill>
  </fills>
  <borders count="7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thin">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style="hair">
        <color indexed="64"/>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dashed">
        <color indexed="64"/>
      </bottom>
      <diagonal/>
    </border>
    <border>
      <left/>
      <right/>
      <top style="thin">
        <color indexed="64"/>
      </top>
      <bottom style="dashed">
        <color indexed="64"/>
      </bottom>
      <diagonal/>
    </border>
    <border>
      <left/>
      <right style="medium">
        <color indexed="64"/>
      </right>
      <top style="thin">
        <color indexed="64"/>
      </top>
      <bottom style="dashed">
        <color indexed="64"/>
      </bottom>
      <diagonal/>
    </border>
    <border>
      <left style="medium">
        <color indexed="64"/>
      </left>
      <right style="dotted">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style="medium">
        <color indexed="64"/>
      </right>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hair">
        <color indexed="64"/>
      </left>
      <right style="medium">
        <color indexed="64"/>
      </right>
      <top style="hair">
        <color indexed="64"/>
      </top>
      <bottom style="hair">
        <color indexed="64"/>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dotted">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top style="dotted">
        <color indexed="64"/>
      </top>
      <bottom style="medium">
        <color indexed="64"/>
      </bottom>
      <diagonal/>
    </border>
    <border>
      <left/>
      <right/>
      <top style="dotted">
        <color indexed="64"/>
      </top>
      <bottom style="medium">
        <color indexed="64"/>
      </bottom>
      <diagonal/>
    </border>
    <border>
      <left/>
      <right style="dotted">
        <color indexed="64"/>
      </right>
      <top style="dotted">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dotted">
        <color indexed="64"/>
      </left>
      <right style="medium">
        <color indexed="64"/>
      </right>
      <top style="dotted">
        <color indexed="64"/>
      </top>
      <bottom style="dotted">
        <color indexed="64"/>
      </bottom>
      <diagonal/>
    </border>
    <border>
      <left style="dotted">
        <color indexed="64"/>
      </left>
      <right style="medium">
        <color indexed="64"/>
      </right>
      <top style="dotted">
        <color indexed="64"/>
      </top>
      <bottom style="medium">
        <color indexed="64"/>
      </bottom>
      <diagonal/>
    </border>
  </borders>
  <cellStyleXfs count="1">
    <xf numFmtId="0" fontId="0" fillId="0" borderId="0"/>
  </cellStyleXfs>
  <cellXfs count="209">
    <xf numFmtId="0" fontId="0" fillId="0" borderId="0" xfId="0"/>
    <xf numFmtId="0" fontId="1" fillId="0" borderId="0" xfId="0" applyFont="1" applyAlignment="1">
      <alignment vertical="center"/>
    </xf>
    <xf numFmtId="164" fontId="2" fillId="0" borderId="0" xfId="0" applyNumberFormat="1" applyFont="1" applyAlignment="1">
      <alignment vertical="center"/>
    </xf>
    <xf numFmtId="0" fontId="3" fillId="0" borderId="0" xfId="0" applyFont="1" applyAlignment="1">
      <alignment horizontal="left" vertical="center" wrapText="1"/>
    </xf>
    <xf numFmtId="0" fontId="4" fillId="0" borderId="0" xfId="0" applyFont="1" applyAlignment="1">
      <alignment vertical="center"/>
    </xf>
    <xf numFmtId="0" fontId="5" fillId="0" borderId="0" xfId="0" applyFont="1" applyAlignment="1">
      <alignment horizontal="center" vertical="center"/>
    </xf>
    <xf numFmtId="164" fontId="1" fillId="0" borderId="0" xfId="0" applyNumberFormat="1" applyFont="1" applyAlignment="1">
      <alignment vertical="center"/>
    </xf>
    <xf numFmtId="0" fontId="6" fillId="0" borderId="0" xfId="0" applyFont="1" applyAlignment="1">
      <alignment horizontal="center" vertical="center" shrinkToFit="1"/>
    </xf>
    <xf numFmtId="0" fontId="7" fillId="0" borderId="0" xfId="0" applyFont="1" applyAlignment="1">
      <alignment vertical="center"/>
    </xf>
    <xf numFmtId="0" fontId="8" fillId="0" borderId="0" xfId="0" applyFont="1" applyAlignment="1">
      <alignment horizontal="center" vertical="center"/>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0" fillId="0" borderId="2" xfId="0" applyFont="1" applyBorder="1" applyAlignment="1">
      <alignment horizontal="center" vertical="center" wrapText="1"/>
    </xf>
    <xf numFmtId="0" fontId="10" fillId="2" borderId="2" xfId="0" applyFont="1" applyFill="1" applyBorder="1" applyAlignment="1">
      <alignment horizontal="center" vertical="center"/>
    </xf>
    <xf numFmtId="0" fontId="10" fillId="0" borderId="3" xfId="0" applyFont="1" applyBorder="1" applyAlignment="1">
      <alignment horizontal="center" vertical="center" wrapText="1"/>
    </xf>
    <xf numFmtId="0" fontId="11" fillId="0" borderId="0" xfId="0" applyFont="1" applyAlignment="1">
      <alignment vertical="center"/>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10" fillId="0" borderId="6" xfId="0" applyFont="1" applyBorder="1" applyAlignment="1">
      <alignment horizontal="left" vertical="center" wrapText="1"/>
    </xf>
    <xf numFmtId="0" fontId="12" fillId="0" borderId="0" xfId="0" applyFont="1" applyAlignment="1">
      <alignment horizontal="left" vertical="center"/>
    </xf>
    <xf numFmtId="165" fontId="13" fillId="0" borderId="0" xfId="0" applyNumberFormat="1" applyFont="1" applyAlignment="1">
      <alignment horizontal="center" vertical="center"/>
    </xf>
    <xf numFmtId="0" fontId="13" fillId="0" borderId="0" xfId="0" applyFont="1" applyAlignment="1">
      <alignment horizontal="center" vertical="center"/>
    </xf>
    <xf numFmtId="165" fontId="12" fillId="0" borderId="0" xfId="0" applyNumberFormat="1" applyFont="1" applyAlignment="1">
      <alignment horizontal="center" vertical="center"/>
    </xf>
    <xf numFmtId="0" fontId="14" fillId="3" borderId="7" xfId="0" applyFont="1" applyFill="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3" borderId="8" xfId="0" applyFont="1" applyFill="1" applyBorder="1" applyAlignment="1">
      <alignment horizontal="center" vertical="center"/>
    </xf>
    <xf numFmtId="0" fontId="10" fillId="3" borderId="10" xfId="0" applyFont="1" applyFill="1" applyBorder="1" applyAlignment="1">
      <alignment horizontal="center" vertical="center"/>
    </xf>
    <xf numFmtId="0" fontId="10" fillId="0" borderId="8" xfId="0" applyFont="1" applyBorder="1" applyAlignment="1">
      <alignment horizontal="center" vertical="center" shrinkToFit="1"/>
    </xf>
    <xf numFmtId="0" fontId="10" fillId="0" borderId="9" xfId="0" applyFont="1" applyBorder="1" applyAlignment="1">
      <alignment horizontal="center" vertical="center" shrinkToFit="1"/>
    </xf>
    <xf numFmtId="0" fontId="10" fillId="0" borderId="11" xfId="0" applyFont="1" applyBorder="1" applyAlignment="1">
      <alignment horizontal="center" vertical="center" shrinkToFit="1"/>
    </xf>
    <xf numFmtId="0" fontId="12" fillId="4" borderId="12" xfId="0" applyFont="1" applyFill="1" applyBorder="1" applyAlignment="1">
      <alignment horizontal="center" vertical="center"/>
    </xf>
    <xf numFmtId="165" fontId="13" fillId="5" borderId="13" xfId="0" applyNumberFormat="1" applyFont="1" applyFill="1" applyBorder="1" applyAlignment="1">
      <alignment horizontal="center" vertical="center"/>
    </xf>
    <xf numFmtId="0" fontId="13" fillId="4" borderId="13" xfId="0" applyFont="1" applyFill="1" applyBorder="1" applyAlignment="1">
      <alignment horizontal="center" vertical="center"/>
    </xf>
    <xf numFmtId="0" fontId="12" fillId="5" borderId="13" xfId="0" applyFont="1" applyFill="1" applyBorder="1" applyAlignment="1">
      <alignment horizontal="center" vertical="center"/>
    </xf>
    <xf numFmtId="0" fontId="12" fillId="4" borderId="13" xfId="0" applyFont="1" applyFill="1" applyBorder="1" applyAlignment="1">
      <alignment horizontal="center" vertical="center"/>
    </xf>
    <xf numFmtId="0" fontId="15" fillId="5" borderId="14" xfId="0" applyFont="1" applyFill="1" applyBorder="1" applyAlignment="1">
      <alignment horizontal="center" vertical="center"/>
    </xf>
    <xf numFmtId="0" fontId="16" fillId="3" borderId="15" xfId="0" applyFont="1" applyFill="1" applyBorder="1" applyAlignment="1">
      <alignment horizontal="center" vertical="center" wrapText="1"/>
    </xf>
    <xf numFmtId="0" fontId="10" fillId="0" borderId="16" xfId="0" applyFont="1" applyBorder="1" applyAlignment="1">
      <alignment horizontal="center" vertical="center"/>
    </xf>
    <xf numFmtId="0" fontId="10" fillId="3" borderId="16" xfId="0" applyFont="1" applyFill="1" applyBorder="1" applyAlignment="1">
      <alignment horizontal="center" vertical="center"/>
    </xf>
    <xf numFmtId="0" fontId="10" fillId="0" borderId="17" xfId="0" applyFont="1" applyBorder="1" applyAlignment="1">
      <alignment horizontal="center" vertical="center"/>
    </xf>
    <xf numFmtId="0" fontId="17" fillId="0" borderId="0" xfId="0" applyFont="1" applyAlignment="1">
      <alignment horizontal="center" vertical="center"/>
    </xf>
    <xf numFmtId="0" fontId="14" fillId="3" borderId="15" xfId="0" applyFont="1" applyFill="1" applyBorder="1" applyAlignment="1">
      <alignment horizontal="center" vertical="center"/>
    </xf>
    <xf numFmtId="0" fontId="14" fillId="6" borderId="18" xfId="0" applyFont="1" applyFill="1" applyBorder="1" applyAlignment="1">
      <alignment horizontal="center" vertical="top" wrapText="1"/>
    </xf>
    <xf numFmtId="0" fontId="9" fillId="6" borderId="19" xfId="0" applyFont="1" applyFill="1" applyBorder="1" applyAlignment="1">
      <alignment horizontal="center" vertical="top" wrapText="1"/>
    </xf>
    <xf numFmtId="0" fontId="14" fillId="6" borderId="19" xfId="0" applyFont="1" applyFill="1" applyBorder="1" applyAlignment="1">
      <alignment horizontal="center" vertical="top" wrapText="1"/>
    </xf>
    <xf numFmtId="0" fontId="14" fillId="0" borderId="19" xfId="0" applyFont="1" applyBorder="1" applyAlignment="1">
      <alignment vertical="center" wrapText="1"/>
    </xf>
    <xf numFmtId="0" fontId="18" fillId="0" borderId="19" xfId="0" applyFont="1" applyBorder="1" applyAlignment="1">
      <alignment horizontal="left" vertical="center"/>
    </xf>
    <xf numFmtId="0" fontId="18" fillId="0" borderId="20" xfId="0" applyFont="1" applyBorder="1" applyAlignment="1">
      <alignment horizontal="left" vertical="center"/>
    </xf>
    <xf numFmtId="0" fontId="14" fillId="3" borderId="21" xfId="0" applyFont="1" applyFill="1" applyBorder="1" applyAlignment="1">
      <alignment horizontal="center" vertical="center"/>
    </xf>
    <xf numFmtId="0" fontId="10" fillId="0" borderId="22" xfId="0" applyFont="1" applyBorder="1" applyAlignment="1">
      <alignment horizontal="left" vertical="center" wrapText="1"/>
    </xf>
    <xf numFmtId="0" fontId="10" fillId="0" borderId="0" xfId="0" applyFont="1" applyAlignment="1">
      <alignment horizontal="left" vertical="center" wrapText="1"/>
    </xf>
    <xf numFmtId="0" fontId="10" fillId="0" borderId="23" xfId="0" applyFont="1" applyBorder="1" applyAlignment="1">
      <alignment horizontal="left" vertical="center" wrapText="1"/>
    </xf>
    <xf numFmtId="0" fontId="15" fillId="3" borderId="24" xfId="0" applyFont="1" applyFill="1" applyBorder="1" applyAlignment="1">
      <alignment horizontal="center" vertical="center"/>
    </xf>
    <xf numFmtId="0" fontId="15" fillId="3" borderId="25" xfId="0" applyFont="1" applyFill="1" applyBorder="1" applyAlignment="1">
      <alignment horizontal="center" vertical="center"/>
    </xf>
    <xf numFmtId="10" fontId="15" fillId="3" borderId="26" xfId="0" applyNumberFormat="1" applyFont="1" applyFill="1" applyBorder="1" applyAlignment="1">
      <alignment horizontal="center" vertical="center"/>
    </xf>
    <xf numFmtId="0" fontId="14" fillId="3" borderId="27" xfId="0" applyFont="1" applyFill="1" applyBorder="1" applyAlignment="1">
      <alignment horizontal="center" vertical="center"/>
    </xf>
    <xf numFmtId="0" fontId="10" fillId="0" borderId="28" xfId="0" applyFont="1" applyBorder="1" applyAlignment="1">
      <alignment horizontal="left" vertical="center" wrapText="1"/>
    </xf>
    <xf numFmtId="10" fontId="2" fillId="0" borderId="0" xfId="0" applyNumberFormat="1" applyFont="1" applyAlignment="1">
      <alignment vertical="center"/>
    </xf>
    <xf numFmtId="0" fontId="15" fillId="0" borderId="7" xfId="0" applyFont="1" applyBorder="1" applyAlignment="1">
      <alignment horizontal="center" vertical="center"/>
    </xf>
    <xf numFmtId="0" fontId="19" fillId="0" borderId="16" xfId="0" applyFont="1" applyBorder="1" applyAlignment="1">
      <alignment vertical="center"/>
    </xf>
    <xf numFmtId="9" fontId="1" fillId="0" borderId="16" xfId="0" applyNumberFormat="1" applyFont="1" applyBorder="1" applyAlignment="1">
      <alignment vertical="center"/>
    </xf>
    <xf numFmtId="0" fontId="1" fillId="0" borderId="16" xfId="0" applyFont="1" applyBorder="1" applyAlignment="1">
      <alignment vertical="center"/>
    </xf>
    <xf numFmtId="166" fontId="2" fillId="0" borderId="16" xfId="0" applyNumberFormat="1" applyFont="1" applyBorder="1" applyAlignment="1">
      <alignment vertical="center"/>
    </xf>
    <xf numFmtId="10" fontId="2" fillId="0" borderId="17" xfId="0" applyNumberFormat="1" applyFont="1" applyBorder="1" applyAlignment="1">
      <alignment vertical="center"/>
    </xf>
    <xf numFmtId="0" fontId="10" fillId="0" borderId="18" xfId="0" applyFont="1" applyBorder="1" applyAlignment="1">
      <alignment horizontal="left" vertical="center"/>
    </xf>
    <xf numFmtId="0" fontId="10" fillId="0" borderId="19" xfId="0" applyFont="1" applyBorder="1" applyAlignment="1">
      <alignment horizontal="left" vertical="center"/>
    </xf>
    <xf numFmtId="165" fontId="20" fillId="6" borderId="19" xfId="0" applyNumberFormat="1" applyFont="1" applyFill="1" applyBorder="1" applyAlignment="1">
      <alignment horizontal="center" vertical="center" wrapText="1"/>
    </xf>
    <xf numFmtId="0" fontId="10" fillId="0" borderId="19" xfId="0" applyFont="1" applyBorder="1" applyAlignment="1">
      <alignment vertical="center"/>
    </xf>
    <xf numFmtId="165" fontId="20" fillId="6" borderId="19" xfId="0" applyNumberFormat="1" applyFont="1" applyFill="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10" fillId="0" borderId="22" xfId="0" applyFont="1" applyBorder="1" applyAlignment="1">
      <alignment horizontal="left" vertical="top" wrapText="1"/>
    </xf>
    <xf numFmtId="0" fontId="10" fillId="0" borderId="0" xfId="0" applyFont="1" applyAlignment="1">
      <alignment horizontal="left" vertical="top" wrapText="1"/>
    </xf>
    <xf numFmtId="0" fontId="10" fillId="0" borderId="23" xfId="0" applyFont="1" applyBorder="1" applyAlignment="1">
      <alignment horizontal="left" vertical="top" wrapText="1"/>
    </xf>
    <xf numFmtId="0" fontId="1" fillId="5" borderId="16" xfId="0" applyFont="1" applyFill="1" applyBorder="1" applyAlignment="1">
      <alignment vertical="center"/>
    </xf>
    <xf numFmtId="0" fontId="2" fillId="0" borderId="29" xfId="0" applyFont="1" applyBorder="1" applyAlignment="1">
      <alignment horizontal="center" vertical="center"/>
    </xf>
    <xf numFmtId="0" fontId="1" fillId="0" borderId="0" xfId="0" applyFont="1" applyAlignment="1">
      <alignment horizontal="center" vertical="center"/>
    </xf>
    <xf numFmtId="10" fontId="15" fillId="0" borderId="17" xfId="0" applyNumberFormat="1" applyFont="1" applyBorder="1" applyAlignment="1">
      <alignment vertical="center"/>
    </xf>
    <xf numFmtId="0" fontId="2" fillId="0" borderId="16" xfId="0" applyFont="1" applyBorder="1" applyAlignment="1">
      <alignment vertical="center"/>
    </xf>
    <xf numFmtId="0" fontId="15" fillId="0" borderId="30" xfId="0" applyFont="1" applyBorder="1" applyAlignment="1">
      <alignment horizontal="center" vertical="center"/>
    </xf>
    <xf numFmtId="0" fontId="1" fillId="0" borderId="31" xfId="0" applyFont="1" applyBorder="1" applyAlignment="1">
      <alignment vertical="center"/>
    </xf>
    <xf numFmtId="167" fontId="19" fillId="0" borderId="31" xfId="0" applyNumberFormat="1" applyFont="1" applyBorder="1" applyAlignment="1">
      <alignment vertical="center"/>
    </xf>
    <xf numFmtId="10" fontId="2" fillId="0" borderId="32" xfId="0" applyNumberFormat="1" applyFont="1" applyBorder="1" applyAlignment="1">
      <alignment vertical="center"/>
    </xf>
    <xf numFmtId="164" fontId="21" fillId="0" borderId="0" xfId="0" applyNumberFormat="1" applyFont="1" applyAlignment="1">
      <alignment horizontal="center" vertical="center"/>
    </xf>
    <xf numFmtId="0" fontId="22" fillId="0" borderId="0" xfId="0" applyFont="1" applyAlignment="1">
      <alignment vertical="center"/>
    </xf>
    <xf numFmtId="164" fontId="15" fillId="0" borderId="0" xfId="0" applyNumberFormat="1" applyFont="1" applyAlignment="1">
      <alignment vertical="center"/>
    </xf>
    <xf numFmtId="164" fontId="22" fillId="0" borderId="0" xfId="0" applyNumberFormat="1" applyFont="1" applyAlignment="1">
      <alignment vertical="center"/>
    </xf>
    <xf numFmtId="0" fontId="10" fillId="0" borderId="22" xfId="0" applyFont="1" applyBorder="1" applyAlignment="1">
      <alignment horizontal="left" vertical="center"/>
    </xf>
    <xf numFmtId="0" fontId="10" fillId="0" borderId="0" xfId="0" applyFont="1" applyAlignment="1">
      <alignment horizontal="left" vertical="center"/>
    </xf>
    <xf numFmtId="168" fontId="20" fillId="2" borderId="0" xfId="0" applyNumberFormat="1" applyFont="1" applyFill="1" applyAlignment="1">
      <alignment vertical="center"/>
    </xf>
    <xf numFmtId="165" fontId="10" fillId="6" borderId="0" xfId="0" applyNumberFormat="1" applyFont="1" applyFill="1" applyAlignment="1">
      <alignment horizontal="left" vertical="center" wrapText="1"/>
    </xf>
    <xf numFmtId="165" fontId="10" fillId="6" borderId="23" xfId="0" applyNumberFormat="1" applyFont="1" applyFill="1" applyBorder="1" applyAlignment="1">
      <alignment horizontal="left" vertical="center" wrapText="1"/>
    </xf>
    <xf numFmtId="0" fontId="10" fillId="0" borderId="22" xfId="0" applyFont="1" applyBorder="1" applyAlignment="1">
      <alignment vertical="top" wrapText="1"/>
    </xf>
    <xf numFmtId="0" fontId="10" fillId="0" borderId="0" xfId="0" applyFont="1" applyAlignment="1">
      <alignment vertical="top" wrapText="1"/>
    </xf>
    <xf numFmtId="0" fontId="10" fillId="0" borderId="23" xfId="0" applyFont="1" applyBorder="1" applyAlignment="1">
      <alignment vertical="top" wrapText="1"/>
    </xf>
    <xf numFmtId="0" fontId="23" fillId="0" borderId="0" xfId="0" applyFont="1" applyAlignment="1">
      <alignment vertical="center"/>
    </xf>
    <xf numFmtId="10" fontId="23" fillId="0" borderId="0" xfId="0" applyNumberFormat="1" applyFont="1" applyAlignment="1">
      <alignment vertical="center"/>
    </xf>
    <xf numFmtId="0" fontId="24" fillId="0" borderId="28" xfId="0" applyFont="1" applyBorder="1" applyAlignment="1">
      <alignment horizontal="left" vertical="top" wrapText="1"/>
    </xf>
    <xf numFmtId="0" fontId="24" fillId="0" borderId="5" xfId="0" applyFont="1" applyBorder="1" applyAlignment="1">
      <alignment horizontal="left" vertical="top" wrapText="1"/>
    </xf>
    <xf numFmtId="0" fontId="24" fillId="0" borderId="6" xfId="0" applyFont="1" applyBorder="1" applyAlignment="1">
      <alignment horizontal="left" vertical="top" wrapText="1"/>
    </xf>
    <xf numFmtId="0" fontId="14" fillId="3" borderId="15" xfId="0" applyFont="1" applyFill="1" applyBorder="1" applyAlignment="1">
      <alignment horizontal="center" vertical="center" wrapText="1"/>
    </xf>
    <xf numFmtId="0" fontId="14" fillId="6" borderId="33" xfId="0" applyFont="1" applyFill="1" applyBorder="1" applyAlignment="1">
      <alignment horizontal="center" vertical="center" wrapText="1"/>
    </xf>
    <xf numFmtId="0" fontId="14" fillId="6" borderId="34" xfId="0" applyFont="1" applyFill="1" applyBorder="1" applyAlignment="1">
      <alignment horizontal="center" vertical="center" wrapText="1"/>
    </xf>
    <xf numFmtId="0" fontId="14" fillId="6" borderId="35" xfId="0" applyFont="1" applyFill="1" applyBorder="1" applyAlignment="1">
      <alignment horizontal="center" vertical="center"/>
    </xf>
    <xf numFmtId="0" fontId="14" fillId="6" borderId="36" xfId="0" applyFont="1" applyFill="1" applyBorder="1" applyAlignment="1">
      <alignment horizontal="center" vertical="center"/>
    </xf>
    <xf numFmtId="0" fontId="14" fillId="6" borderId="34" xfId="0" applyFont="1" applyFill="1" applyBorder="1" applyAlignment="1">
      <alignment horizontal="center" vertical="center"/>
    </xf>
    <xf numFmtId="0" fontId="14" fillId="6" borderId="37" xfId="0" applyFont="1" applyFill="1" applyBorder="1" applyAlignment="1">
      <alignment horizontal="center" vertical="center"/>
    </xf>
    <xf numFmtId="0" fontId="14" fillId="3" borderId="21" xfId="0" applyFont="1" applyFill="1" applyBorder="1" applyAlignment="1">
      <alignment horizontal="center" vertical="center" wrapText="1"/>
    </xf>
    <xf numFmtId="0" fontId="10" fillId="6" borderId="38" xfId="0" applyFont="1" applyFill="1" applyBorder="1" applyAlignment="1">
      <alignment horizontal="center" vertical="center" wrapText="1"/>
    </xf>
    <xf numFmtId="0" fontId="10" fillId="6" borderId="39" xfId="0" applyFont="1" applyFill="1" applyBorder="1" applyAlignment="1">
      <alignment horizontal="center" vertical="center" wrapText="1"/>
    </xf>
    <xf numFmtId="10" fontId="10" fillId="6" borderId="40" xfId="0" applyNumberFormat="1" applyFont="1" applyFill="1" applyBorder="1" applyAlignment="1">
      <alignment horizontal="center" vertical="center"/>
    </xf>
    <xf numFmtId="10" fontId="10" fillId="6" borderId="41" xfId="0" applyNumberFormat="1" applyFont="1" applyFill="1" applyBorder="1" applyAlignment="1">
      <alignment horizontal="center" vertical="center"/>
    </xf>
    <xf numFmtId="10" fontId="10" fillId="6" borderId="39" xfId="0" applyNumberFormat="1" applyFont="1" applyFill="1" applyBorder="1" applyAlignment="1">
      <alignment horizontal="center" vertical="center"/>
    </xf>
    <xf numFmtId="10" fontId="10" fillId="6" borderId="42" xfId="0" applyNumberFormat="1" applyFont="1" applyFill="1" applyBorder="1" applyAlignment="1">
      <alignment horizontal="center" vertical="center"/>
    </xf>
    <xf numFmtId="0" fontId="14" fillId="3" borderId="27" xfId="0" applyFont="1" applyFill="1" applyBorder="1" applyAlignment="1">
      <alignment horizontal="center" vertical="center" wrapText="1"/>
    </xf>
    <xf numFmtId="0" fontId="10" fillId="6" borderId="43" xfId="0" applyFont="1" applyFill="1" applyBorder="1" applyAlignment="1">
      <alignment horizontal="center" vertical="center" wrapText="1"/>
    </xf>
    <xf numFmtId="165" fontId="10" fillId="6" borderId="44" xfId="0" applyNumberFormat="1" applyFont="1" applyFill="1" applyBorder="1" applyAlignment="1">
      <alignment horizontal="center" vertical="center" wrapText="1"/>
    </xf>
    <xf numFmtId="165" fontId="10" fillId="6" borderId="44" xfId="0" applyNumberFormat="1" applyFont="1" applyFill="1" applyBorder="1" applyAlignment="1">
      <alignment horizontal="center" vertical="center"/>
    </xf>
    <xf numFmtId="165" fontId="10" fillId="6" borderId="45" xfId="0" applyNumberFormat="1" applyFont="1" applyFill="1" applyBorder="1" applyAlignment="1">
      <alignment horizontal="center" vertical="center"/>
    </xf>
    <xf numFmtId="165" fontId="10" fillId="6" borderId="46" xfId="0" applyNumberFormat="1" applyFont="1" applyFill="1" applyBorder="1" applyAlignment="1">
      <alignment horizontal="center" vertical="center"/>
    </xf>
    <xf numFmtId="169" fontId="10" fillId="6" borderId="45" xfId="0" applyNumberFormat="1" applyFont="1" applyFill="1" applyBorder="1" applyAlignment="1">
      <alignment horizontal="center" vertical="center"/>
    </xf>
    <xf numFmtId="169" fontId="10" fillId="6" borderId="47" xfId="0" applyNumberFormat="1" applyFont="1" applyFill="1" applyBorder="1" applyAlignment="1">
      <alignment horizontal="center" vertical="center"/>
    </xf>
    <xf numFmtId="0" fontId="25" fillId="0" borderId="18" xfId="0" applyFont="1" applyBorder="1" applyAlignment="1">
      <alignment horizontal="left" vertical="center" wrapText="1"/>
    </xf>
    <xf numFmtId="0" fontId="25" fillId="0" borderId="19" xfId="0" applyFont="1" applyBorder="1" applyAlignment="1">
      <alignment horizontal="left" vertical="center" wrapText="1"/>
    </xf>
    <xf numFmtId="0" fontId="25" fillId="0" borderId="20" xfId="0" applyFont="1" applyBorder="1" applyAlignment="1">
      <alignment horizontal="left" vertical="center" wrapText="1"/>
    </xf>
    <xf numFmtId="0" fontId="25" fillId="0" borderId="22" xfId="0" applyFont="1" applyBorder="1" applyAlignment="1">
      <alignment horizontal="left" vertical="center" wrapText="1"/>
    </xf>
    <xf numFmtId="0" fontId="25" fillId="0" borderId="0" xfId="0" applyFont="1" applyAlignment="1">
      <alignment horizontal="left" vertical="center" wrapText="1"/>
    </xf>
    <xf numFmtId="0" fontId="25" fillId="0" borderId="23" xfId="0" applyFont="1" applyBorder="1" applyAlignment="1">
      <alignment horizontal="left" vertical="center" wrapText="1"/>
    </xf>
    <xf numFmtId="0" fontId="10" fillId="0" borderId="18" xfId="0" applyFont="1" applyBorder="1" applyAlignment="1">
      <alignment horizontal="left" vertical="center" wrapText="1"/>
    </xf>
    <xf numFmtId="0" fontId="10" fillId="0" borderId="19" xfId="0" applyFont="1" applyBorder="1" applyAlignment="1">
      <alignment horizontal="left" vertical="center" wrapText="1"/>
    </xf>
    <xf numFmtId="0" fontId="10" fillId="0" borderId="20" xfId="0" applyFont="1" applyBorder="1" applyAlignment="1">
      <alignment horizontal="left" vertical="center" wrapText="1"/>
    </xf>
    <xf numFmtId="164" fontId="23" fillId="0" borderId="0" xfId="0" applyNumberFormat="1" applyFont="1" applyAlignment="1">
      <alignment vertical="center"/>
    </xf>
    <xf numFmtId="170" fontId="23" fillId="0" borderId="0" xfId="0" applyNumberFormat="1" applyFont="1" applyAlignment="1">
      <alignment vertical="center"/>
    </xf>
    <xf numFmtId="0" fontId="26" fillId="0" borderId="0" xfId="0" applyFont="1" applyAlignment="1">
      <alignment vertical="center" wrapText="1"/>
    </xf>
    <xf numFmtId="164" fontId="26" fillId="0" borderId="0" xfId="0" applyNumberFormat="1" applyFont="1" applyAlignment="1">
      <alignment vertical="center" wrapText="1"/>
    </xf>
    <xf numFmtId="0" fontId="26" fillId="0" borderId="0" xfId="0" applyFont="1" applyAlignment="1">
      <alignment horizontal="left" vertical="center" wrapText="1"/>
    </xf>
    <xf numFmtId="0" fontId="14" fillId="6" borderId="0" xfId="0" applyFont="1" applyFill="1" applyAlignment="1">
      <alignment horizontal="center" vertical="center"/>
    </xf>
    <xf numFmtId="164" fontId="2" fillId="0" borderId="0" xfId="0" applyNumberFormat="1" applyFont="1" applyAlignment="1">
      <alignment horizontal="center" vertical="center"/>
    </xf>
    <xf numFmtId="10" fontId="10" fillId="6" borderId="0" xfId="0" applyNumberFormat="1" applyFont="1" applyFill="1" applyAlignment="1">
      <alignment horizontal="center" vertical="center"/>
    </xf>
    <xf numFmtId="9" fontId="1" fillId="0" borderId="0" xfId="0" applyNumberFormat="1" applyFont="1" applyAlignment="1">
      <alignment vertical="center"/>
    </xf>
    <xf numFmtId="165" fontId="27" fillId="6" borderId="0" xfId="0" applyNumberFormat="1" applyFont="1" applyFill="1" applyAlignment="1">
      <alignment horizontal="center" vertical="center"/>
    </xf>
    <xf numFmtId="169" fontId="27" fillId="6" borderId="0" xfId="0" applyNumberFormat="1" applyFont="1" applyFill="1" applyAlignment="1">
      <alignment horizontal="center" vertical="center"/>
    </xf>
    <xf numFmtId="165" fontId="20" fillId="6" borderId="0" xfId="0" applyNumberFormat="1" applyFont="1" applyFill="1" applyAlignment="1">
      <alignment horizontal="center" vertical="center"/>
    </xf>
    <xf numFmtId="164" fontId="19" fillId="0" borderId="0" xfId="0" applyNumberFormat="1" applyFont="1" applyAlignment="1">
      <alignment vertical="center"/>
    </xf>
    <xf numFmtId="169" fontId="20" fillId="6" borderId="0" xfId="0" applyNumberFormat="1" applyFont="1" applyFill="1" applyAlignment="1">
      <alignment horizontal="center" vertical="center"/>
    </xf>
    <xf numFmtId="165" fontId="10" fillId="6" borderId="0" xfId="0" applyNumberFormat="1" applyFont="1" applyFill="1" applyAlignment="1">
      <alignment horizontal="center" vertical="center"/>
    </xf>
    <xf numFmtId="169" fontId="10" fillId="6" borderId="0" xfId="0" applyNumberFormat="1" applyFont="1" applyFill="1" applyAlignment="1">
      <alignment horizontal="center" vertical="center"/>
    </xf>
    <xf numFmtId="0" fontId="10" fillId="0" borderId="8" xfId="0" applyFont="1" applyBorder="1" applyAlignment="1">
      <alignment horizontal="center" vertical="center" wrapText="1"/>
    </xf>
    <xf numFmtId="0" fontId="10" fillId="0" borderId="10" xfId="0" applyFont="1" applyBorder="1" applyAlignment="1">
      <alignment horizontal="center" vertical="center" wrapText="1"/>
    </xf>
    <xf numFmtId="0" fontId="28" fillId="0" borderId="16" xfId="0" applyFont="1" applyBorder="1" applyAlignment="1">
      <alignment horizontal="left" vertical="center" wrapText="1"/>
    </xf>
    <xf numFmtId="0" fontId="29" fillId="0" borderId="8" xfId="0" applyFont="1" applyBorder="1" applyAlignment="1">
      <alignment horizontal="center" vertical="center" wrapText="1"/>
    </xf>
    <xf numFmtId="0" fontId="29" fillId="0" borderId="10" xfId="0" applyFont="1" applyBorder="1" applyAlignment="1">
      <alignment horizontal="center" vertical="center" wrapText="1"/>
    </xf>
    <xf numFmtId="0" fontId="29" fillId="0" borderId="16" xfId="0" applyFont="1" applyBorder="1" applyAlignment="1">
      <alignment horizontal="center" vertical="center" wrapText="1"/>
    </xf>
    <xf numFmtId="0" fontId="10" fillId="0" borderId="8" xfId="0" applyFont="1" applyBorder="1" applyAlignment="1">
      <alignment horizontal="left" vertical="center" wrapText="1"/>
    </xf>
    <xf numFmtId="0" fontId="10" fillId="0" borderId="9" xfId="0" applyFont="1" applyBorder="1" applyAlignment="1">
      <alignment horizontal="left" vertical="center" wrapText="1"/>
    </xf>
    <xf numFmtId="0" fontId="10" fillId="0" borderId="11" xfId="0" applyFont="1" applyBorder="1" applyAlignment="1">
      <alignment horizontal="left" vertical="center" wrapText="1"/>
    </xf>
    <xf numFmtId="0" fontId="14" fillId="3" borderId="7" xfId="0" applyFont="1" applyFill="1" applyBorder="1" applyAlignment="1">
      <alignment horizontal="center" vertical="center" wrapText="1"/>
    </xf>
    <xf numFmtId="0" fontId="10" fillId="0" borderId="8" xfId="0" applyFont="1" applyBorder="1" applyAlignment="1">
      <alignment horizontal="left" vertical="center"/>
    </xf>
    <xf numFmtId="0" fontId="10" fillId="0" borderId="9" xfId="0" applyFont="1" applyBorder="1" applyAlignment="1">
      <alignment horizontal="left" vertical="center"/>
    </xf>
    <xf numFmtId="0" fontId="10" fillId="0" borderId="11" xfId="0" applyFont="1" applyBorder="1" applyAlignment="1">
      <alignment horizontal="left" vertical="center"/>
    </xf>
    <xf numFmtId="0" fontId="10" fillId="6" borderId="48" xfId="0" applyFont="1" applyFill="1" applyBorder="1" applyAlignment="1">
      <alignment horizontal="center" vertical="center" wrapText="1"/>
    </xf>
    <xf numFmtId="0" fontId="30" fillId="6" borderId="9" xfId="0" applyFont="1" applyFill="1" applyBorder="1" applyAlignment="1">
      <alignment horizontal="center" vertical="center" wrapText="1"/>
    </xf>
    <xf numFmtId="0" fontId="30" fillId="6" borderId="11" xfId="0" applyFont="1" applyFill="1" applyBorder="1" applyAlignment="1">
      <alignment horizontal="center" vertical="center" wrapText="1"/>
    </xf>
    <xf numFmtId="0" fontId="15" fillId="0" borderId="0" xfId="0" applyFont="1" applyAlignment="1">
      <alignment vertical="center"/>
    </xf>
    <xf numFmtId="0" fontId="10" fillId="7" borderId="49" xfId="0" applyFont="1" applyFill="1" applyBorder="1" applyAlignment="1">
      <alignment horizontal="center" vertical="center"/>
    </xf>
    <xf numFmtId="0" fontId="10" fillId="7" borderId="50" xfId="0" applyFont="1" applyFill="1" applyBorder="1" applyAlignment="1">
      <alignment horizontal="center" vertical="center"/>
    </xf>
    <xf numFmtId="0" fontId="10" fillId="7" borderId="51" xfId="0" applyFont="1" applyFill="1" applyBorder="1" applyAlignment="1">
      <alignment horizontal="center" vertical="center"/>
    </xf>
    <xf numFmtId="0" fontId="4" fillId="0" borderId="52" xfId="0" applyFont="1" applyBorder="1" applyAlignment="1">
      <alignment horizontal="center" vertical="center"/>
    </xf>
    <xf numFmtId="0" fontId="4" fillId="0" borderId="53" xfId="0" applyFont="1" applyBorder="1" applyAlignment="1">
      <alignment horizontal="center" vertical="center"/>
    </xf>
    <xf numFmtId="0" fontId="25" fillId="0" borderId="53" xfId="0" applyFont="1" applyBorder="1" applyAlignment="1">
      <alignment horizontal="center" vertical="center"/>
    </xf>
    <xf numFmtId="0" fontId="31" fillId="0" borderId="53" xfId="0" applyFont="1" applyBorder="1" applyAlignment="1">
      <alignment horizontal="center" vertical="center"/>
    </xf>
    <xf numFmtId="0" fontId="31" fillId="0" borderId="54" xfId="0" applyFont="1" applyBorder="1" applyAlignment="1">
      <alignment horizontal="center" vertical="center"/>
    </xf>
    <xf numFmtId="0" fontId="4" fillId="0" borderId="55" xfId="0" applyFont="1" applyBorder="1" applyAlignment="1">
      <alignment horizontal="center" vertical="center"/>
    </xf>
    <xf numFmtId="0" fontId="4" fillId="0" borderId="56" xfId="0" applyFont="1" applyBorder="1" applyAlignment="1">
      <alignment horizontal="center" vertical="center"/>
    </xf>
    <xf numFmtId="0" fontId="4" fillId="0" borderId="56" xfId="0" applyFont="1" applyBorder="1" applyAlignment="1">
      <alignment horizontal="center" vertical="center" shrinkToFit="1"/>
    </xf>
    <xf numFmtId="0" fontId="25" fillId="0" borderId="56" xfId="0" applyFont="1" applyBorder="1" applyAlignment="1">
      <alignment horizontal="center" vertical="center"/>
    </xf>
    <xf numFmtId="0" fontId="32" fillId="0" borderId="40" xfId="0" applyFont="1" applyBorder="1" applyAlignment="1">
      <alignment horizontal="center" vertical="center"/>
    </xf>
    <xf numFmtId="0" fontId="32" fillId="0" borderId="57" xfId="0" applyFont="1" applyBorder="1" applyAlignment="1">
      <alignment horizontal="center" vertical="center"/>
    </xf>
    <xf numFmtId="0" fontId="4" fillId="0" borderId="58" xfId="0" applyFont="1" applyBorder="1" applyAlignment="1">
      <alignment horizontal="center" vertical="center"/>
    </xf>
    <xf numFmtId="0" fontId="4" fillId="0" borderId="59" xfId="0" applyFont="1" applyBorder="1" applyAlignment="1">
      <alignment horizontal="center" vertical="center"/>
    </xf>
    <xf numFmtId="0" fontId="4" fillId="0" borderId="60" xfId="0" applyFont="1" applyBorder="1" applyAlignment="1">
      <alignment horizontal="center" vertical="center"/>
    </xf>
    <xf numFmtId="0" fontId="33" fillId="0" borderId="56" xfId="0" applyFont="1" applyBorder="1" applyAlignment="1">
      <alignment horizontal="center" vertical="center"/>
    </xf>
    <xf numFmtId="0" fontId="4" fillId="0" borderId="61" xfId="0" applyFont="1" applyBorder="1" applyAlignment="1">
      <alignment horizontal="center" vertical="center"/>
    </xf>
    <xf numFmtId="0" fontId="4" fillId="0" borderId="62" xfId="0" applyFont="1" applyBorder="1" applyAlignment="1">
      <alignment horizontal="center" vertical="center"/>
    </xf>
    <xf numFmtId="0" fontId="4" fillId="0" borderId="63" xfId="0" applyFont="1" applyBorder="1" applyAlignment="1">
      <alignment horizontal="right" vertical="center"/>
    </xf>
    <xf numFmtId="0" fontId="4" fillId="0" borderId="64" xfId="0" applyFont="1" applyBorder="1" applyAlignment="1">
      <alignment horizontal="right" vertical="center"/>
    </xf>
    <xf numFmtId="0" fontId="4" fillId="0" borderId="65" xfId="0" applyFont="1" applyBorder="1" applyAlignment="1">
      <alignment horizontal="right" vertical="center"/>
    </xf>
    <xf numFmtId="0" fontId="33" fillId="0" borderId="62" xfId="0" applyFont="1" applyBorder="1" applyAlignment="1">
      <alignment horizontal="center" vertical="center"/>
    </xf>
    <xf numFmtId="0" fontId="32" fillId="0" borderId="66" xfId="0" applyFont="1" applyBorder="1" applyAlignment="1">
      <alignment horizontal="center" vertical="center"/>
    </xf>
    <xf numFmtId="0" fontId="32" fillId="0" borderId="67" xfId="0" applyFont="1" applyBorder="1" applyAlignment="1">
      <alignment horizontal="center" vertical="center"/>
    </xf>
    <xf numFmtId="0" fontId="10" fillId="2" borderId="2" xfId="0" applyFont="1" applyFill="1" applyBorder="1" applyAlignment="1">
      <alignment horizontal="center" vertical="center" wrapText="1"/>
    </xf>
    <xf numFmtId="0" fontId="9" fillId="0" borderId="28" xfId="0" applyFont="1" applyBorder="1" applyAlignment="1">
      <alignment horizontal="left" vertical="top" wrapText="1"/>
    </xf>
    <xf numFmtId="0" fontId="9" fillId="0" borderId="5" xfId="0" applyFont="1" applyBorder="1" applyAlignment="1">
      <alignment horizontal="left" vertical="top" wrapText="1"/>
    </xf>
    <xf numFmtId="0" fontId="9" fillId="0" borderId="6" xfId="0" applyFont="1" applyBorder="1" applyAlignment="1">
      <alignment horizontal="left" vertical="top" wrapText="1"/>
    </xf>
    <xf numFmtId="0" fontId="28" fillId="0" borderId="17" xfId="0" applyFont="1" applyBorder="1" applyAlignment="1">
      <alignment horizontal="left" vertical="center" wrapText="1"/>
    </xf>
    <xf numFmtId="0" fontId="4" fillId="0" borderId="68" xfId="0" applyFont="1" applyBorder="1" applyAlignment="1">
      <alignment horizontal="center" vertical="center"/>
    </xf>
    <xf numFmtId="0" fontId="4" fillId="0" borderId="62" xfId="0" applyFont="1" applyBorder="1" applyAlignment="1">
      <alignment horizontal="right" vertical="center"/>
    </xf>
    <xf numFmtId="0" fontId="4" fillId="0" borderId="69" xfId="0" applyFont="1" applyBorder="1" applyAlignment="1">
      <alignment horizontal="center" vertical="center"/>
    </xf>
    <xf numFmtId="0" fontId="34" fillId="0" borderId="56" xfId="0" applyFont="1" applyBorder="1" applyAlignment="1">
      <alignment horizontal="center" vertical="center"/>
    </xf>
    <xf numFmtId="0" fontId="34" fillId="0" borderId="68" xfId="0" applyFont="1" applyBorder="1" applyAlignment="1">
      <alignment horizontal="center" vertical="center"/>
    </xf>
    <xf numFmtId="0" fontId="34" fillId="0" borderId="62" xfId="0" applyFont="1" applyBorder="1" applyAlignment="1">
      <alignment horizontal="center" vertical="center"/>
    </xf>
    <xf numFmtId="0" fontId="34" fillId="0" borderId="69" xfId="0" applyFont="1" applyBorder="1" applyAlignment="1">
      <alignment horizontal="center" vertical="center"/>
    </xf>
    <xf numFmtId="0" fontId="25" fillId="0" borderId="54" xfId="0" applyFont="1" applyBorder="1" applyAlignment="1">
      <alignment horizontal="center" vertical="center"/>
    </xf>
    <xf numFmtId="0" fontId="33" fillId="0" borderId="68" xfId="0" applyFont="1" applyBorder="1" applyAlignment="1">
      <alignment horizontal="center" vertical="center"/>
    </xf>
    <xf numFmtId="0" fontId="33" fillId="0" borderId="69" xfId="0" applyFont="1" applyBorder="1" applyAlignment="1">
      <alignment horizontal="center" vertical="center"/>
    </xf>
    <xf numFmtId="0" fontId="10" fillId="0" borderId="53" xfId="0" applyFont="1" applyBorder="1" applyAlignment="1">
      <alignment horizontal="center" vertical="center"/>
    </xf>
    <xf numFmtId="0" fontId="10" fillId="0" borderId="5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2.xml"/><Relationship Id="rId5" Type="http://schemas.openxmlformats.org/officeDocument/2006/relationships/worksheet" Target="worksheets/sheet11.xml"/><Relationship Id="rId6" Type="http://schemas.openxmlformats.org/officeDocument/2006/relationships/worksheet" Target="worksheets/sheet10.xml"/><Relationship Id="rId7" Type="http://schemas.openxmlformats.org/officeDocument/2006/relationships/worksheet" Target="worksheets/sheet9.xml"/><Relationship Id="rId8" Type="http://schemas.openxmlformats.org/officeDocument/2006/relationships/worksheet" Target="worksheets/sheet8.xml"/><Relationship Id="rId9" Type="http://schemas.openxmlformats.org/officeDocument/2006/relationships/worksheet" Target="worksheets/sheet7.xml"/><Relationship Id="rId10" Type="http://schemas.openxmlformats.org/officeDocument/2006/relationships/worksheet" Target="worksheets/sheet6.xml"/><Relationship Id="rId11" Type="http://schemas.openxmlformats.org/officeDocument/2006/relationships/worksheet" Target="worksheets/sheet5.xml"/><Relationship Id="rId12" Type="http://schemas.openxmlformats.org/officeDocument/2006/relationships/worksheet" Target="worksheets/sheet4.xml"/><Relationship Id="rId13" Type="http://schemas.openxmlformats.org/officeDocument/2006/relationships/worksheet" Target="worksheets/sheet3.xml"/><Relationship Id="rId14" Type="http://schemas.openxmlformats.org/officeDocument/2006/relationships/worksheet" Target="worksheets/sheet2.xml"/><Relationship Id="rId1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552450</xdr:colOff>
      <xdr:row>49</xdr:row>
      <xdr:rowOff>180975</xdr:rowOff>
    </xdr:from>
    <xdr:to>
      <xdr:col>4</xdr:col>
      <xdr:colOff>910575</xdr:colOff>
      <xdr:row>51</xdr:row>
      <xdr:rowOff>8205</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c r="I7" s="39"/>
      <c r="J7" s="41"/>
      <c r="L7" s="42"/>
      <c r="M7" s="42"/>
      <c r="N7" s="42"/>
      <c r="O7" s="42"/>
      <c r="P7" s="42"/>
      <c r="S7" s="6"/>
    </row>
    <row r="8" ht="18" customHeight="1" spans="1:19" x14ac:dyDescent="0.25">
      <c r="A8" s="43" t="s">
        <v>16</v>
      </c>
      <c r="B8" s="44" t="s">
        <v>154</v>
      </c>
      <c r="C8" s="45"/>
      <c r="D8" s="46" t="s">
        <v>155</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0.7006026689625484</v>
      </c>
      <c r="S10" s="6"/>
    </row>
    <row r="11" ht="19.5" customHeight="1" spans="1:19" x14ac:dyDescent="0.25">
      <c r="A11" s="43" t="s">
        <v>29</v>
      </c>
      <c r="B11" s="66" t="s">
        <v>30</v>
      </c>
      <c r="C11" s="67"/>
      <c r="D11" s="67"/>
      <c r="E11" s="68">
        <f>D24</f>
        <v>0</v>
      </c>
      <c r="F11" s="69" t="s">
        <v>31</v>
      </c>
      <c r="G11" s="70">
        <f>E11/8</f>
        <v>0</v>
      </c>
      <c r="H11" s="71" t="s">
        <v>32</v>
      </c>
      <c r="I11" s="71"/>
      <c r="J11" s="72"/>
      <c r="L11" s="60" t="s">
        <v>33</v>
      </c>
      <c r="M11" s="61">
        <v>9.6</v>
      </c>
      <c r="N11" s="62">
        <v>1</v>
      </c>
      <c r="O11" s="63">
        <v>4.34</v>
      </c>
      <c r="P11" s="64">
        <f>M11*O11</f>
        <v>41.663999999999994</v>
      </c>
      <c r="Q11" s="65">
        <f>P11/P15</f>
        <v>0.14012053379250966</v>
      </c>
      <c r="S11" s="6"/>
    </row>
    <row r="12" ht="17.25" customHeight="1" spans="1:19" x14ac:dyDescent="0.25">
      <c r="A12" s="50"/>
      <c r="B12" s="73" t="s">
        <v>34</v>
      </c>
      <c r="C12" s="74"/>
      <c r="D12" s="74"/>
      <c r="E12" s="74"/>
      <c r="F12" s="74"/>
      <c r="G12" s="74"/>
      <c r="H12" s="74"/>
      <c r="I12" s="74"/>
      <c r="J12" s="75"/>
      <c r="L12" s="60" t="s">
        <v>35</v>
      </c>
      <c r="M12" s="61">
        <v>12</v>
      </c>
      <c r="N12" s="62">
        <v>1</v>
      </c>
      <c r="O12" s="63">
        <v>1</v>
      </c>
      <c r="P12" s="64">
        <f>M12*N12*O12</f>
        <v>12</v>
      </c>
      <c r="Q12" s="65">
        <f>P12/P15</f>
        <v>0.04035729659922514</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0.058383555746879034</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0.060535944898837714</v>
      </c>
      <c r="S14" s="6"/>
    </row>
    <row r="15" ht="13.5" customHeight="1" spans="1:19" x14ac:dyDescent="0.25">
      <c r="A15" s="50"/>
      <c r="B15" s="51" t="s">
        <v>38</v>
      </c>
      <c r="C15" s="52"/>
      <c r="D15" s="52"/>
      <c r="E15" s="52"/>
      <c r="F15" s="52"/>
      <c r="G15" s="52"/>
      <c r="H15" s="52"/>
      <c r="I15" s="52"/>
      <c r="J15" s="53"/>
      <c r="L15" s="81" t="s">
        <v>39</v>
      </c>
      <c r="M15" s="82"/>
      <c r="N15" s="82"/>
      <c r="O15" s="82">
        <v>0</v>
      </c>
      <c r="P15" s="83">
        <f>SUM(P10:P14)</f>
        <v>297.344</v>
      </c>
      <c r="Q15" s="84">
        <f>SUM(Q10:Q14)</f>
        <v>1</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c r="H18" s="92" t="s">
        <v>43</v>
      </c>
      <c r="I18" s="92"/>
      <c r="J18" s="93"/>
      <c r="L18" s="21"/>
      <c r="M18" s="85"/>
      <c r="P18" s="59"/>
      <c r="S18" s="6"/>
    </row>
    <row r="19" ht="15.75" customHeight="1" spans="1:19" x14ac:dyDescent="0.25">
      <c r="A19" s="50"/>
      <c r="B19" s="94" t="s">
        <v>108</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99" t="s">
        <v>109</v>
      </c>
      <c r="C21" s="100"/>
      <c r="D21" s="100"/>
      <c r="E21" s="100"/>
      <c r="F21" s="100"/>
      <c r="G21" s="100"/>
      <c r="H21" s="100"/>
      <c r="I21" s="100"/>
      <c r="J21" s="101"/>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0.7006026689625484</v>
      </c>
      <c r="E23" s="112">
        <f>Q11</f>
        <v>0.14012053379250966</v>
      </c>
      <c r="F23" s="112">
        <f>Q12</f>
        <v>0.04035729659922514</v>
      </c>
      <c r="G23" s="113">
        <f>Q13</f>
        <v>0.058383555746879034</v>
      </c>
      <c r="H23" s="114"/>
      <c r="I23" s="113">
        <f>Q14</f>
        <v>0.060535944898837714</v>
      </c>
      <c r="J23" s="115"/>
      <c r="L23" s="97"/>
      <c r="M23" s="97"/>
      <c r="N23" s="97"/>
      <c r="O23" s="97"/>
      <c r="P23" s="97"/>
      <c r="Q23" s="97"/>
      <c r="R23" s="97"/>
      <c r="S23" s="1"/>
    </row>
    <row r="24" ht="18.75" customHeight="1" spans="1:19" x14ac:dyDescent="0.25">
      <c r="A24" s="116"/>
      <c r="B24" s="117" t="s">
        <v>56</v>
      </c>
      <c r="C24" s="118">
        <f>G11</f>
        <v>0</v>
      </c>
      <c r="D24" s="119">
        <f>G18*$D$23</f>
        <v>0</v>
      </c>
      <c r="E24" s="119">
        <f>G18*$E$23</f>
        <v>0</v>
      </c>
      <c r="F24" s="119">
        <f>G18*$F$23</f>
        <v>0</v>
      </c>
      <c r="G24" s="120">
        <f>G18*$G$23</f>
        <v>0</v>
      </c>
      <c r="H24" s="121"/>
      <c r="I24" s="122">
        <f>G18*$I$23</f>
        <v>0</v>
      </c>
      <c r="J24" s="123"/>
      <c r="L24" s="97"/>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0</v>
      </c>
      <c r="M27" s="133">
        <f>E24*5</f>
        <v>0</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110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111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112</v>
      </c>
      <c r="C45" s="160"/>
      <c r="D45" s="160"/>
      <c r="E45" s="160"/>
      <c r="F45" s="160"/>
      <c r="G45" s="160"/>
      <c r="H45" s="160"/>
      <c r="I45" s="160"/>
      <c r="J45" s="161"/>
      <c r="S45" s="1"/>
    </row>
    <row r="46" ht="19.5" customHeight="1" spans="1:19" x14ac:dyDescent="0.25">
      <c r="A46" s="162" t="s">
        <v>156</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207" t="s">
        <v>157</v>
      </c>
      <c r="H48" s="207"/>
      <c r="I48" s="207"/>
      <c r="J48" s="208"/>
      <c r="S48" s="6"/>
    </row>
    <row r="49" ht="23.25" customHeight="1" spans="1:19" x14ac:dyDescent="0.25">
      <c r="A49" s="174" t="s">
        <v>85</v>
      </c>
      <c r="B49" s="175"/>
      <c r="C49" s="176" t="s">
        <v>86</v>
      </c>
      <c r="D49" s="176"/>
      <c r="E49" s="176"/>
      <c r="F49" s="177" t="s">
        <v>87</v>
      </c>
      <c r="G49" s="175"/>
      <c r="H49" s="175"/>
      <c r="I49" s="175"/>
      <c r="J49" s="197"/>
      <c r="S49" s="6"/>
    </row>
    <row r="50" ht="23.25" customHeight="1" spans="1:19" x14ac:dyDescent="0.25">
      <c r="A50" s="174" t="s">
        <v>88</v>
      </c>
      <c r="B50" s="175"/>
      <c r="C50" s="175"/>
      <c r="D50" s="175"/>
      <c r="E50" s="175"/>
      <c r="F50" s="183" t="s">
        <v>90</v>
      </c>
      <c r="G50" s="175"/>
      <c r="H50" s="175"/>
      <c r="I50" s="175"/>
      <c r="J50" s="197"/>
      <c r="S50" s="6"/>
    </row>
    <row r="51" ht="23.25" customHeight="1" spans="1:19" x14ac:dyDescent="0.25">
      <c r="A51" s="184" t="s">
        <v>91</v>
      </c>
      <c r="B51" s="185"/>
      <c r="C51" s="198" t="s">
        <v>158</v>
      </c>
      <c r="D51" s="198"/>
      <c r="E51" s="198"/>
      <c r="F51" s="189" t="s">
        <v>93</v>
      </c>
      <c r="G51" s="185"/>
      <c r="H51" s="185"/>
      <c r="I51" s="185"/>
      <c r="J51" s="199"/>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4" fitToWidth="1" fitToHeight="1" firstPageNumber="1" useFirstPageNumber="1" copies="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t="s">
        <v>105</v>
      </c>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t="s">
        <v>3</v>
      </c>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t="s">
        <v>3</v>
      </c>
      <c r="I7" s="39"/>
      <c r="J7" s="41"/>
      <c r="L7" s="42"/>
      <c r="M7" s="42"/>
      <c r="N7" s="42"/>
      <c r="O7" s="42"/>
      <c r="P7" s="42"/>
      <c r="S7" s="6"/>
    </row>
    <row r="8" ht="18" customHeight="1" spans="1:19" x14ac:dyDescent="0.25">
      <c r="A8" s="43" t="s">
        <v>16</v>
      </c>
      <c r="B8" s="44" t="s">
        <v>151</v>
      </c>
      <c r="C8" s="45"/>
      <c r="D8" s="46" t="s">
        <v>152</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0.7300661657508131</v>
      </c>
      <c r="S10" s="6"/>
    </row>
    <row r="11" ht="19.5" customHeight="1" spans="1:19" x14ac:dyDescent="0.25">
      <c r="A11" s="43" t="s">
        <v>29</v>
      </c>
      <c r="B11" s="66" t="s">
        <v>30</v>
      </c>
      <c r="C11" s="67"/>
      <c r="D11" s="67"/>
      <c r="E11" s="68">
        <f>D24</f>
        <v>73279.99999999997</v>
      </c>
      <c r="F11" s="69" t="s">
        <v>31</v>
      </c>
      <c r="G11" s="70">
        <f>E11/8</f>
        <v>9159.999999999996</v>
      </c>
      <c r="H11" s="71" t="s">
        <v>32</v>
      </c>
      <c r="I11" s="71"/>
      <c r="J11" s="72"/>
      <c r="L11" s="60" t="s">
        <v>33</v>
      </c>
      <c r="M11" s="61">
        <v>9.6</v>
      </c>
      <c r="N11" s="62">
        <v>1</v>
      </c>
      <c r="O11" s="63">
        <v>4.34</v>
      </c>
      <c r="P11" s="64">
        <f>M11*O11</f>
        <v>41.663999999999994</v>
      </c>
      <c r="Q11" s="65">
        <f>P11/P15</f>
        <v>0.1460132331501626</v>
      </c>
      <c r="S11" s="6"/>
    </row>
    <row r="12" ht="17.25" customHeight="1" spans="1:19" x14ac:dyDescent="0.25">
      <c r="A12" s="50"/>
      <c r="B12" s="73" t="s">
        <v>34</v>
      </c>
      <c r="C12" s="74"/>
      <c r="D12" s="74"/>
      <c r="E12" s="74"/>
      <c r="F12" s="74"/>
      <c r="G12" s="74"/>
      <c r="H12" s="74"/>
      <c r="I12" s="74"/>
      <c r="J12" s="75"/>
      <c r="L12" s="60" t="s">
        <v>35</v>
      </c>
      <c r="M12" s="61">
        <v>12</v>
      </c>
      <c r="N12" s="62">
        <v>1</v>
      </c>
      <c r="O12" s="63">
        <v>0</v>
      </c>
      <c r="P12" s="64">
        <f>M12*N12*O12</f>
        <v>0</v>
      </c>
      <c r="Q12" s="65">
        <f>P12/P15</f>
        <v>0</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0.060838847145901084</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0.06308175395312325</v>
      </c>
      <c r="S14" s="6"/>
    </row>
    <row r="15" ht="13.5" customHeight="1" spans="1:19" x14ac:dyDescent="0.25">
      <c r="A15" s="50"/>
      <c r="B15" s="51" t="s">
        <v>38</v>
      </c>
      <c r="C15" s="52"/>
      <c r="D15" s="52"/>
      <c r="E15" s="52"/>
      <c r="F15" s="52"/>
      <c r="G15" s="52"/>
      <c r="H15" s="52"/>
      <c r="I15" s="52"/>
      <c r="J15" s="53"/>
      <c r="L15" s="81" t="s">
        <v>39</v>
      </c>
      <c r="M15" s="82"/>
      <c r="N15" s="82"/>
      <c r="O15" s="82">
        <v>0</v>
      </c>
      <c r="P15" s="83">
        <f>SUM(P10:P14)</f>
        <v>285.344</v>
      </c>
      <c r="Q15" s="84">
        <f>SUM(Q10:Q14)</f>
        <v>0.9999999999999999</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100374.46390168967</v>
      </c>
      <c r="H18" s="92" t="s">
        <v>43</v>
      </c>
      <c r="I18" s="92"/>
      <c r="J18" s="93"/>
      <c r="L18" s="21"/>
      <c r="M18" s="85"/>
      <c r="P18" s="59"/>
      <c r="S18" s="6"/>
    </row>
    <row r="19" ht="15.75" customHeight="1" spans="1:19" x14ac:dyDescent="0.25">
      <c r="A19" s="50"/>
      <c r="B19" s="94" t="s">
        <v>108</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99" t="s">
        <v>109</v>
      </c>
      <c r="C21" s="100"/>
      <c r="D21" s="100"/>
      <c r="E21" s="100"/>
      <c r="F21" s="100"/>
      <c r="G21" s="100"/>
      <c r="H21" s="100"/>
      <c r="I21" s="100"/>
      <c r="J21" s="101"/>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0.7300661657508131</v>
      </c>
      <c r="E23" s="112">
        <f>Q11</f>
        <v>0.1460132331501626</v>
      </c>
      <c r="F23" s="112">
        <f>Q12</f>
        <v>0</v>
      </c>
      <c r="G23" s="113">
        <f>Q13</f>
        <v>0.060838847145901084</v>
      </c>
      <c r="H23" s="114"/>
      <c r="I23" s="113">
        <f>Q14</f>
        <v>0.06308175395312325</v>
      </c>
      <c r="J23" s="115"/>
      <c r="L23" s="97"/>
      <c r="M23" s="97"/>
      <c r="N23" s="97"/>
      <c r="O23" s="97"/>
      <c r="P23" s="97"/>
      <c r="Q23" s="97"/>
      <c r="R23" s="97"/>
      <c r="S23" s="1"/>
    </row>
    <row r="24" ht="18.75" customHeight="1" spans="1:19" x14ac:dyDescent="0.25">
      <c r="A24" s="116"/>
      <c r="B24" s="117" t="s">
        <v>56</v>
      </c>
      <c r="C24" s="118">
        <f>G11</f>
        <v>9159.999999999996</v>
      </c>
      <c r="D24" s="119">
        <f>G18*$D$23</f>
        <v>73279.99999999997</v>
      </c>
      <c r="E24" s="119">
        <f>G18*$E$23</f>
        <v>14655.999999999993</v>
      </c>
      <c r="F24" s="119">
        <f>G18*$F$23</f>
        <v>0</v>
      </c>
      <c r="G24" s="120">
        <f>G18*$G$23</f>
        <v>6106.666666666664</v>
      </c>
      <c r="H24" s="121"/>
      <c r="I24" s="122">
        <f>G18*$I$23</f>
        <v>6331.797235023039</v>
      </c>
      <c r="J24" s="123"/>
      <c r="L24" s="97"/>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73279.99999999997</v>
      </c>
      <c r="M27" s="133">
        <f>E24*5</f>
        <v>73279.99999999997</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110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111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112</v>
      </c>
      <c r="C45" s="160"/>
      <c r="D45" s="160"/>
      <c r="E45" s="160"/>
      <c r="F45" s="160"/>
      <c r="G45" s="160"/>
      <c r="H45" s="160"/>
      <c r="I45" s="160"/>
      <c r="J45" s="161"/>
      <c r="S45" s="1"/>
    </row>
    <row r="46" ht="19.5" customHeight="1" spans="1:19" x14ac:dyDescent="0.25">
      <c r="A46" s="162" t="s">
        <v>153</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2" t="s">
        <v>114</v>
      </c>
      <c r="H48" s="172"/>
      <c r="I48" s="172"/>
      <c r="J48" s="173"/>
      <c r="S48" s="6"/>
    </row>
    <row r="49" ht="23.25" customHeight="1" spans="1:19" x14ac:dyDescent="0.25">
      <c r="A49" s="174" t="s">
        <v>85</v>
      </c>
      <c r="B49" s="175"/>
      <c r="C49" s="176" t="s">
        <v>86</v>
      </c>
      <c r="D49" s="176"/>
      <c r="E49" s="176"/>
      <c r="F49" s="177" t="s">
        <v>87</v>
      </c>
      <c r="G49" s="200"/>
      <c r="H49" s="200"/>
      <c r="I49" s="200"/>
      <c r="J49" s="201"/>
      <c r="S49" s="6"/>
    </row>
    <row r="50" ht="23.25" customHeight="1" spans="1:19" x14ac:dyDescent="0.25">
      <c r="A50" s="174" t="s">
        <v>88</v>
      </c>
      <c r="B50" s="175"/>
      <c r="C50" s="175"/>
      <c r="D50" s="175"/>
      <c r="E50" s="175"/>
      <c r="F50" s="183" t="s">
        <v>90</v>
      </c>
      <c r="G50" s="200"/>
      <c r="H50" s="200"/>
      <c r="I50" s="200"/>
      <c r="J50" s="201"/>
      <c r="S50" s="6"/>
    </row>
    <row r="51" ht="23.25" customHeight="1" spans="1:19" x14ac:dyDescent="0.25">
      <c r="A51" s="184" t="s">
        <v>91</v>
      </c>
      <c r="B51" s="185"/>
      <c r="C51" s="198" t="s">
        <v>75</v>
      </c>
      <c r="D51" s="198"/>
      <c r="E51" s="198"/>
      <c r="F51" s="189" t="s">
        <v>93</v>
      </c>
      <c r="G51" s="202"/>
      <c r="H51" s="202"/>
      <c r="I51" s="202"/>
      <c r="J51" s="203"/>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5" fitToWidth="1" fitToHeight="1" firstPageNumber="1" useFirstPageNumber="1" copies="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M50" sqref="M50"/>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t="s">
        <v>105</v>
      </c>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t="s">
        <v>3</v>
      </c>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t="s">
        <v>3</v>
      </c>
      <c r="I7" s="39"/>
      <c r="J7" s="41"/>
      <c r="L7" s="42"/>
      <c r="M7" s="42"/>
      <c r="N7" s="42"/>
      <c r="O7" s="42"/>
      <c r="P7" s="42"/>
      <c r="S7" s="6"/>
    </row>
    <row r="8" ht="18" customHeight="1" spans="1:19" x14ac:dyDescent="0.25">
      <c r="A8" s="43" t="s">
        <v>16</v>
      </c>
      <c r="B8" s="44" t="s">
        <v>148</v>
      </c>
      <c r="C8" s="45"/>
      <c r="D8" s="46" t="s">
        <v>149</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0.6032246108228317</v>
      </c>
      <c r="S10" s="6"/>
    </row>
    <row r="11" ht="19.5" customHeight="1" spans="1:19" x14ac:dyDescent="0.25">
      <c r="A11" s="43" t="s">
        <v>29</v>
      </c>
      <c r="B11" s="66" t="s">
        <v>30</v>
      </c>
      <c r="C11" s="67"/>
      <c r="D11" s="67"/>
      <c r="E11" s="68">
        <f>D24</f>
        <v>68187.3387694589</v>
      </c>
      <c r="F11" s="69" t="s">
        <v>31</v>
      </c>
      <c r="G11" s="70">
        <f>E11/8</f>
        <v>8523.417346182363</v>
      </c>
      <c r="H11" s="71" t="s">
        <v>32</v>
      </c>
      <c r="I11" s="71"/>
      <c r="J11" s="72"/>
      <c r="L11" s="60" t="s">
        <v>33</v>
      </c>
      <c r="M11" s="61">
        <v>9.6</v>
      </c>
      <c r="N11" s="62">
        <v>1</v>
      </c>
      <c r="O11" s="63">
        <v>4.34</v>
      </c>
      <c r="P11" s="64">
        <f>M11*O11</f>
        <v>41.663999999999994</v>
      </c>
      <c r="Q11" s="65">
        <f>P11/P15</f>
        <v>0.12064492216456633</v>
      </c>
      <c r="S11" s="6"/>
    </row>
    <row r="12" ht="17.25" customHeight="1" spans="1:19" x14ac:dyDescent="0.25">
      <c r="A12" s="50"/>
      <c r="B12" s="73" t="s">
        <v>34</v>
      </c>
      <c r="C12" s="74"/>
      <c r="D12" s="74"/>
      <c r="E12" s="74"/>
      <c r="F12" s="74"/>
      <c r="G12" s="74"/>
      <c r="H12" s="74"/>
      <c r="I12" s="74"/>
      <c r="J12" s="75"/>
      <c r="L12" s="60" t="s">
        <v>35</v>
      </c>
      <c r="M12" s="61">
        <v>12</v>
      </c>
      <c r="N12" s="62">
        <v>1</v>
      </c>
      <c r="O12" s="63">
        <v>5</v>
      </c>
      <c r="P12" s="64">
        <f>M12*N12*O12</f>
        <v>60</v>
      </c>
      <c r="Q12" s="65">
        <f>P12/P15</f>
        <v>0.17373980726464047</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0.05026871756856931</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0.052121942179392144</v>
      </c>
      <c r="S14" s="6"/>
    </row>
    <row r="15" ht="13.5" customHeight="1" spans="1:19" x14ac:dyDescent="0.25">
      <c r="A15" s="50"/>
      <c r="B15" s="51" t="s">
        <v>38</v>
      </c>
      <c r="C15" s="52"/>
      <c r="D15" s="52"/>
      <c r="E15" s="52"/>
      <c r="F15" s="52"/>
      <c r="G15" s="52"/>
      <c r="H15" s="52"/>
      <c r="I15" s="52"/>
      <c r="J15" s="53"/>
      <c r="L15" s="81" t="s">
        <v>39</v>
      </c>
      <c r="M15" s="82"/>
      <c r="N15" s="82"/>
      <c r="O15" s="82">
        <v>0</v>
      </c>
      <c r="P15" s="83">
        <f>SUM(P10:P14)</f>
        <v>345.344</v>
      </c>
      <c r="Q15" s="84">
        <f>SUM(Q10:Q14)</f>
        <v>1</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113038.05837173585</v>
      </c>
      <c r="H18" s="92" t="s">
        <v>43</v>
      </c>
      <c r="I18" s="92"/>
      <c r="J18" s="93"/>
      <c r="L18" s="21"/>
      <c r="M18" s="85"/>
      <c r="P18" s="59"/>
      <c r="S18" s="6"/>
    </row>
    <row r="19" ht="15.75" customHeight="1" spans="1:19" x14ac:dyDescent="0.25">
      <c r="A19" s="50"/>
      <c r="B19" s="94" t="s">
        <v>108</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99" t="s">
        <v>109</v>
      </c>
      <c r="C21" s="100"/>
      <c r="D21" s="100"/>
      <c r="E21" s="100"/>
      <c r="F21" s="100"/>
      <c r="G21" s="100"/>
      <c r="H21" s="100"/>
      <c r="I21" s="100"/>
      <c r="J21" s="101"/>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0.6032246108228317</v>
      </c>
      <c r="E23" s="112">
        <f>Q11</f>
        <v>0.12064492216456633</v>
      </c>
      <c r="F23" s="112">
        <f>Q12</f>
        <v>0.17373980726464047</v>
      </c>
      <c r="G23" s="113">
        <f>Q13</f>
        <v>0.05026871756856931</v>
      </c>
      <c r="H23" s="114"/>
      <c r="I23" s="113">
        <f>Q14</f>
        <v>0.052121942179392144</v>
      </c>
      <c r="J23" s="115"/>
      <c r="L23" s="97"/>
      <c r="M23" s="97"/>
      <c r="N23" s="97"/>
      <c r="O23" s="97"/>
      <c r="P23" s="97"/>
      <c r="Q23" s="97"/>
      <c r="R23" s="97"/>
      <c r="S23" s="1"/>
    </row>
    <row r="24" ht="18.75" customHeight="1" spans="1:19" x14ac:dyDescent="0.25">
      <c r="A24" s="116"/>
      <c r="B24" s="117" t="s">
        <v>56</v>
      </c>
      <c r="C24" s="118">
        <f>G11</f>
        <v>8523.417346182363</v>
      </c>
      <c r="D24" s="119">
        <f>G18*$D$23</f>
        <v>68187.3387694589</v>
      </c>
      <c r="E24" s="119">
        <f>G18*$E$23</f>
        <v>13637.467753891779</v>
      </c>
      <c r="F24" s="119">
        <f>G18*$F$23</f>
        <v>19639.210475074568</v>
      </c>
      <c r="G24" s="120">
        <f>G18*$G$23</f>
        <v>5682.278230788241</v>
      </c>
      <c r="H24" s="121"/>
      <c r="I24" s="122">
        <f>G18*$I$23</f>
        <v>5891.76314252237</v>
      </c>
      <c r="J24" s="123"/>
      <c r="L24" s="97"/>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68187.3387694589</v>
      </c>
      <c r="M27" s="133">
        <f>E24*5</f>
        <v>68187.33876945889</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110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111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112</v>
      </c>
      <c r="C45" s="160"/>
      <c r="D45" s="160"/>
      <c r="E45" s="160"/>
      <c r="F45" s="160"/>
      <c r="G45" s="160"/>
      <c r="H45" s="160"/>
      <c r="I45" s="160"/>
      <c r="J45" s="161"/>
      <c r="S45" s="1"/>
    </row>
    <row r="46" ht="19.5" customHeight="1" spans="1:19" x14ac:dyDescent="0.25">
      <c r="A46" s="162" t="s">
        <v>150</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2" t="s">
        <v>114</v>
      </c>
      <c r="H48" s="172"/>
      <c r="I48" s="172"/>
      <c r="J48" s="173"/>
      <c r="S48" s="6"/>
    </row>
    <row r="49" ht="23.25" customHeight="1" spans="1:19" x14ac:dyDescent="0.25">
      <c r="A49" s="174" t="s">
        <v>85</v>
      </c>
      <c r="B49" s="175"/>
      <c r="C49" s="176" t="s">
        <v>86</v>
      </c>
      <c r="D49" s="176"/>
      <c r="E49" s="176"/>
      <c r="F49" s="177" t="s">
        <v>87</v>
      </c>
      <c r="G49" s="200"/>
      <c r="H49" s="200"/>
      <c r="I49" s="200"/>
      <c r="J49" s="201"/>
      <c r="S49" s="6"/>
    </row>
    <row r="50" ht="23.25" customHeight="1" spans="1:19" x14ac:dyDescent="0.25">
      <c r="A50" s="174" t="s">
        <v>88</v>
      </c>
      <c r="B50" s="175"/>
      <c r="C50" s="175"/>
      <c r="D50" s="175"/>
      <c r="E50" s="175"/>
      <c r="F50" s="183" t="s">
        <v>90</v>
      </c>
      <c r="G50" s="200"/>
      <c r="H50" s="200"/>
      <c r="I50" s="200"/>
      <c r="J50" s="201"/>
      <c r="S50" s="6"/>
    </row>
    <row r="51" ht="23.25" customHeight="1" spans="1:19" x14ac:dyDescent="0.25">
      <c r="A51" s="184" t="s">
        <v>91</v>
      </c>
      <c r="B51" s="185"/>
      <c r="C51" s="198" t="s">
        <v>75</v>
      </c>
      <c r="D51" s="198"/>
      <c r="E51" s="198"/>
      <c r="F51" s="189" t="s">
        <v>93</v>
      </c>
      <c r="G51" s="202"/>
      <c r="H51" s="202"/>
      <c r="I51" s="202"/>
      <c r="J51" s="203"/>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5" fitToWidth="1" fitToHeight="1" firstPageNumber="1" useFirstPageNumber="1" copies="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t="s">
        <v>105</v>
      </c>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t="s">
        <v>3</v>
      </c>
      <c r="I7" s="39"/>
      <c r="J7" s="41"/>
      <c r="L7" s="42"/>
      <c r="M7" s="42"/>
      <c r="N7" s="42"/>
      <c r="O7" s="42"/>
      <c r="P7" s="42"/>
      <c r="S7" s="6"/>
    </row>
    <row r="8" ht="18" customHeight="1" spans="1:19" x14ac:dyDescent="0.25">
      <c r="A8" s="43" t="s">
        <v>16</v>
      </c>
      <c r="B8" s="44" t="s">
        <v>137</v>
      </c>
      <c r="C8" s="45"/>
      <c r="D8" s="46" t="s">
        <v>138</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0.7300661657508131</v>
      </c>
      <c r="S10" s="6"/>
    </row>
    <row r="11" ht="19.5" customHeight="1" spans="1:19" x14ac:dyDescent="0.25">
      <c r="A11" s="43" t="s">
        <v>29</v>
      </c>
      <c r="B11" s="66" t="s">
        <v>30</v>
      </c>
      <c r="C11" s="67"/>
      <c r="D11" s="67"/>
      <c r="E11" s="68">
        <f>D24</f>
        <v>116810.58652013009</v>
      </c>
      <c r="F11" s="69" t="s">
        <v>31</v>
      </c>
      <c r="G11" s="70">
        <f>E11/8</f>
        <v>14601.323315016261</v>
      </c>
      <c r="H11" s="71" t="s">
        <v>32</v>
      </c>
      <c r="I11" s="71"/>
      <c r="J11" s="72"/>
      <c r="L11" s="60" t="s">
        <v>33</v>
      </c>
      <c r="M11" s="61">
        <v>9.6</v>
      </c>
      <c r="N11" s="62">
        <v>1</v>
      </c>
      <c r="O11" s="63">
        <v>4.34</v>
      </c>
      <c r="P11" s="64">
        <f>M11*O11</f>
        <v>41.663999999999994</v>
      </c>
      <c r="Q11" s="65">
        <f>P11/P15</f>
        <v>0.1460132331501626</v>
      </c>
      <c r="S11" s="6"/>
    </row>
    <row r="12" ht="17.25" customHeight="1" spans="1:19" x14ac:dyDescent="0.25">
      <c r="A12" s="50"/>
      <c r="B12" s="73" t="s">
        <v>34</v>
      </c>
      <c r="C12" s="74"/>
      <c r="D12" s="74"/>
      <c r="E12" s="74"/>
      <c r="F12" s="74"/>
      <c r="G12" s="74"/>
      <c r="H12" s="74"/>
      <c r="I12" s="74"/>
      <c r="J12" s="75"/>
      <c r="L12" s="60" t="s">
        <v>35</v>
      </c>
      <c r="M12" s="61">
        <v>12</v>
      </c>
      <c r="N12" s="62">
        <v>1</v>
      </c>
      <c r="O12" s="63">
        <v>0</v>
      </c>
      <c r="P12" s="64">
        <f>M12*N12*O12</f>
        <v>0</v>
      </c>
      <c r="Q12" s="65">
        <f>P12/P15</f>
        <v>0</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0.060838847145901084</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0.06308175395312325</v>
      </c>
      <c r="S14" s="6"/>
    </row>
    <row r="15" ht="13.5" customHeight="1" spans="1:19" x14ac:dyDescent="0.25">
      <c r="A15" s="50"/>
      <c r="B15" s="51" t="s">
        <v>38</v>
      </c>
      <c r="C15" s="52"/>
      <c r="D15" s="52"/>
      <c r="E15" s="52"/>
      <c r="F15" s="52"/>
      <c r="G15" s="52"/>
      <c r="H15" s="52"/>
      <c r="I15" s="52"/>
      <c r="J15" s="53"/>
      <c r="L15" s="81" t="s">
        <v>39</v>
      </c>
      <c r="M15" s="82"/>
      <c r="N15" s="82"/>
      <c r="O15" s="82">
        <v>0</v>
      </c>
      <c r="P15" s="83">
        <f>SUM(P10:P14)</f>
        <v>285.344</v>
      </c>
      <c r="Q15" s="84">
        <f>SUM(Q10:Q14)</f>
        <v>0.9999999999999999</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160000</v>
      </c>
      <c r="H18" s="92" t="s">
        <v>43</v>
      </c>
      <c r="I18" s="92"/>
      <c r="J18" s="93"/>
      <c r="L18" s="21"/>
      <c r="M18" s="85"/>
      <c r="P18" s="59"/>
      <c r="S18" s="6"/>
    </row>
    <row r="19" ht="15.75" customHeight="1" spans="1:19" x14ac:dyDescent="0.25">
      <c r="A19" s="50"/>
      <c r="B19" s="94" t="s">
        <v>139</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99" t="s">
        <v>140</v>
      </c>
      <c r="C21" s="100"/>
      <c r="D21" s="100"/>
      <c r="E21" s="100"/>
      <c r="F21" s="100"/>
      <c r="G21" s="100"/>
      <c r="H21" s="100"/>
      <c r="I21" s="100"/>
      <c r="J21" s="101"/>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0.7300661657508131</v>
      </c>
      <c r="E23" s="112">
        <f>Q11</f>
        <v>0.1460132331501626</v>
      </c>
      <c r="F23" s="112">
        <f>Q12</f>
        <v>0</v>
      </c>
      <c r="G23" s="113">
        <f>Q13</f>
        <v>0.060838847145901084</v>
      </c>
      <c r="H23" s="114"/>
      <c r="I23" s="113">
        <f>Q14</f>
        <v>0.06308175395312325</v>
      </c>
      <c r="J23" s="115"/>
      <c r="L23" s="97"/>
      <c r="M23" s="97"/>
      <c r="N23" s="97"/>
      <c r="O23" s="97"/>
      <c r="P23" s="97"/>
      <c r="Q23" s="97"/>
      <c r="R23" s="97"/>
      <c r="S23" s="1"/>
    </row>
    <row r="24" ht="18.75" customHeight="1" spans="1:19" x14ac:dyDescent="0.25">
      <c r="A24" s="116"/>
      <c r="B24" s="117" t="s">
        <v>56</v>
      </c>
      <c r="C24" s="118">
        <f>G11</f>
        <v>14601.323315016261</v>
      </c>
      <c r="D24" s="119">
        <f>G18*$D$23</f>
        <v>116810.58652013009</v>
      </c>
      <c r="E24" s="119">
        <f>G18*$E$23</f>
        <v>23362.117304026015</v>
      </c>
      <c r="F24" s="119">
        <f>G18*$F$23</f>
        <v>0</v>
      </c>
      <c r="G24" s="120">
        <f>G18*$G$23</f>
        <v>9734.215543344173</v>
      </c>
      <c r="H24" s="121"/>
      <c r="I24" s="122">
        <f>G18*$I$23</f>
        <v>10093.080632499721</v>
      </c>
      <c r="J24" s="123"/>
      <c r="L24" s="97"/>
      <c r="M24" s="97"/>
      <c r="N24" s="97"/>
      <c r="O24" s="97"/>
      <c r="P24" s="97"/>
      <c r="Q24" s="97"/>
      <c r="R24" s="97"/>
      <c r="S24" s="1"/>
    </row>
    <row r="25" ht="54.75" customHeight="1" spans="1:19" x14ac:dyDescent="0.25">
      <c r="A25" s="102" t="s">
        <v>57</v>
      </c>
      <c r="B25" s="124" t="s">
        <v>141</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116810.58652013009</v>
      </c>
      <c r="M27" s="133">
        <f>E24*5</f>
        <v>116810.58652013008</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142</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143</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144</v>
      </c>
      <c r="C45" s="160"/>
      <c r="D45" s="160"/>
      <c r="E45" s="160"/>
      <c r="F45" s="160"/>
      <c r="G45" s="160"/>
      <c r="H45" s="160"/>
      <c r="I45" s="160"/>
      <c r="J45" s="161"/>
      <c r="S45" s="1"/>
    </row>
    <row r="46" ht="19.5" customHeight="1" spans="1:19" x14ac:dyDescent="0.25">
      <c r="A46" s="162" t="s">
        <v>145</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2" t="s">
        <v>146</v>
      </c>
      <c r="H48" s="172"/>
      <c r="I48" s="172"/>
      <c r="J48" s="173"/>
      <c r="S48" s="6"/>
    </row>
    <row r="49" ht="23.25" customHeight="1" spans="1:19" x14ac:dyDescent="0.25">
      <c r="A49" s="174" t="s">
        <v>85</v>
      </c>
      <c r="B49" s="175"/>
      <c r="C49" s="176" t="s">
        <v>86</v>
      </c>
      <c r="D49" s="176"/>
      <c r="E49" s="176"/>
      <c r="F49" s="177" t="s">
        <v>87</v>
      </c>
      <c r="G49" s="183"/>
      <c r="H49" s="183"/>
      <c r="I49" s="183"/>
      <c r="J49" s="205"/>
      <c r="S49" s="6"/>
    </row>
    <row r="50" ht="23.25" customHeight="1" spans="1:19" x14ac:dyDescent="0.25">
      <c r="A50" s="174" t="s">
        <v>88</v>
      </c>
      <c r="B50" s="175"/>
      <c r="C50" s="175"/>
      <c r="D50" s="175"/>
      <c r="E50" s="175"/>
      <c r="F50" s="183" t="s">
        <v>90</v>
      </c>
      <c r="G50" s="183"/>
      <c r="H50" s="183"/>
      <c r="I50" s="183"/>
      <c r="J50" s="205"/>
      <c r="S50" s="6"/>
    </row>
    <row r="51" ht="23.25" customHeight="1" spans="1:19" x14ac:dyDescent="0.25">
      <c r="A51" s="184" t="s">
        <v>91</v>
      </c>
      <c r="B51" s="185"/>
      <c r="C51" s="198" t="s">
        <v>147</v>
      </c>
      <c r="D51" s="198"/>
      <c r="E51" s="198"/>
      <c r="F51" s="189" t="s">
        <v>93</v>
      </c>
      <c r="G51" s="185"/>
      <c r="H51" s="185"/>
      <c r="I51" s="185"/>
      <c r="J51" s="199"/>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5"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t="s">
        <v>3</v>
      </c>
      <c r="I7" s="39"/>
      <c r="J7" s="41"/>
      <c r="L7" s="42"/>
      <c r="M7" s="42"/>
      <c r="N7" s="42"/>
      <c r="O7" s="42"/>
      <c r="P7" s="42"/>
      <c r="S7" s="6"/>
    </row>
    <row r="8" ht="18" customHeight="1" spans="1:19" x14ac:dyDescent="0.25">
      <c r="A8" s="43" t="s">
        <v>16</v>
      </c>
      <c r="B8" s="44" t="s">
        <v>132</v>
      </c>
      <c r="C8" s="45"/>
      <c r="D8" s="46" t="s">
        <v>133</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0.7006026689625484</v>
      </c>
      <c r="S10" s="6"/>
    </row>
    <row r="11" ht="19.5" customHeight="1" spans="1:19" x14ac:dyDescent="0.25">
      <c r="A11" s="43" t="s">
        <v>29</v>
      </c>
      <c r="B11" s="66" t="s">
        <v>30</v>
      </c>
      <c r="C11" s="67"/>
      <c r="D11" s="67"/>
      <c r="E11" s="68">
        <f>D24</f>
        <v>112096.42703400775</v>
      </c>
      <c r="F11" s="69" t="s">
        <v>31</v>
      </c>
      <c r="G11" s="70">
        <f>E11/8</f>
        <v>14012.053379250969</v>
      </c>
      <c r="H11" s="71" t="s">
        <v>32</v>
      </c>
      <c r="I11" s="71"/>
      <c r="J11" s="72"/>
      <c r="L11" s="60" t="s">
        <v>33</v>
      </c>
      <c r="M11" s="61">
        <v>9.6</v>
      </c>
      <c r="N11" s="62">
        <v>1</v>
      </c>
      <c r="O11" s="63">
        <v>4.34</v>
      </c>
      <c r="P11" s="64">
        <f>M11*O11</f>
        <v>41.663999999999994</v>
      </c>
      <c r="Q11" s="65">
        <f>P11/P15</f>
        <v>0.14012053379250966</v>
      </c>
      <c r="S11" s="6"/>
    </row>
    <row r="12" ht="17.25" customHeight="1" spans="1:19" x14ac:dyDescent="0.25">
      <c r="A12" s="50"/>
      <c r="B12" s="73" t="s">
        <v>34</v>
      </c>
      <c r="C12" s="74"/>
      <c r="D12" s="74"/>
      <c r="E12" s="74"/>
      <c r="F12" s="74"/>
      <c r="G12" s="74"/>
      <c r="H12" s="74"/>
      <c r="I12" s="74"/>
      <c r="J12" s="75"/>
      <c r="L12" s="60" t="s">
        <v>35</v>
      </c>
      <c r="M12" s="61">
        <v>12</v>
      </c>
      <c r="N12" s="62">
        <v>1</v>
      </c>
      <c r="O12" s="63">
        <v>1</v>
      </c>
      <c r="P12" s="64">
        <f>M12*N12*O12</f>
        <v>12</v>
      </c>
      <c r="Q12" s="65">
        <f>P12/P15</f>
        <v>0.04035729659922514</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0.058383555746879034</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0.060535944898837714</v>
      </c>
      <c r="S14" s="6"/>
    </row>
    <row r="15" ht="13.5" customHeight="1" spans="1:19" x14ac:dyDescent="0.25">
      <c r="A15" s="50"/>
      <c r="B15" s="51" t="s">
        <v>38</v>
      </c>
      <c r="C15" s="52"/>
      <c r="D15" s="52"/>
      <c r="E15" s="52"/>
      <c r="F15" s="52"/>
      <c r="G15" s="52"/>
      <c r="H15" s="52"/>
      <c r="I15" s="52"/>
      <c r="J15" s="53"/>
      <c r="L15" s="81" t="s">
        <v>39</v>
      </c>
      <c r="M15" s="82"/>
      <c r="N15" s="82"/>
      <c r="O15" s="82">
        <v>0</v>
      </c>
      <c r="P15" s="83">
        <f>SUM(P10:P14)</f>
        <v>297.344</v>
      </c>
      <c r="Q15" s="84">
        <f>SUM(Q10:Q14)</f>
        <v>1</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160000</v>
      </c>
      <c r="H18" s="92" t="s">
        <v>43</v>
      </c>
      <c r="I18" s="92"/>
      <c r="J18" s="93"/>
      <c r="L18" s="21"/>
      <c r="M18" s="85"/>
      <c r="P18" s="59"/>
      <c r="S18" s="6"/>
    </row>
    <row r="19" ht="15.75" customHeight="1" spans="1:19" x14ac:dyDescent="0.25">
      <c r="A19" s="50"/>
      <c r="B19" s="94" t="s">
        <v>108</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99" t="s">
        <v>109</v>
      </c>
      <c r="C21" s="100"/>
      <c r="D21" s="100"/>
      <c r="E21" s="100"/>
      <c r="F21" s="100"/>
      <c r="G21" s="100"/>
      <c r="H21" s="100"/>
      <c r="I21" s="100"/>
      <c r="J21" s="101"/>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0.7006026689625484</v>
      </c>
      <c r="E23" s="112">
        <f>Q11</f>
        <v>0.14012053379250966</v>
      </c>
      <c r="F23" s="112">
        <f>Q12</f>
        <v>0.04035729659922514</v>
      </c>
      <c r="G23" s="113">
        <f>Q13</f>
        <v>0.058383555746879034</v>
      </c>
      <c r="H23" s="114"/>
      <c r="I23" s="113">
        <f>Q14</f>
        <v>0.060535944898837714</v>
      </c>
      <c r="J23" s="115"/>
      <c r="L23" s="97"/>
      <c r="M23" s="97"/>
      <c r="N23" s="97"/>
      <c r="O23" s="97"/>
      <c r="P23" s="97"/>
      <c r="Q23" s="97"/>
      <c r="R23" s="97"/>
      <c r="S23" s="1"/>
    </row>
    <row r="24" ht="18.75" customHeight="1" spans="1:19" x14ac:dyDescent="0.25">
      <c r="A24" s="116"/>
      <c r="B24" s="117" t="s">
        <v>56</v>
      </c>
      <c r="C24" s="118">
        <f>G11</f>
        <v>14012.053379250969</v>
      </c>
      <c r="D24" s="119">
        <f>G18*$D$23</f>
        <v>112096.42703400775</v>
      </c>
      <c r="E24" s="119">
        <f>G18*$E$23</f>
        <v>22419.285406801544</v>
      </c>
      <c r="F24" s="119">
        <f>G18*$F$23</f>
        <v>6457.167455876022</v>
      </c>
      <c r="G24" s="120">
        <f>G18*$G$23</f>
        <v>9341.368919500646</v>
      </c>
      <c r="H24" s="121"/>
      <c r="I24" s="122">
        <f>G18*$I$23</f>
        <v>9685.751183814034</v>
      </c>
      <c r="J24" s="123"/>
      <c r="L24" s="97"/>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112096.42703400775</v>
      </c>
      <c r="M27" s="133">
        <f>E24*5</f>
        <v>112096.42703400772</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110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111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112</v>
      </c>
      <c r="C45" s="160"/>
      <c r="D45" s="160"/>
      <c r="E45" s="160"/>
      <c r="F45" s="160"/>
      <c r="G45" s="160"/>
      <c r="H45" s="160"/>
      <c r="I45" s="160"/>
      <c r="J45" s="161"/>
      <c r="S45" s="1"/>
    </row>
    <row r="46" ht="19.5" customHeight="1" spans="1:19" x14ac:dyDescent="0.25">
      <c r="A46" s="162" t="s">
        <v>134</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207" t="s">
        <v>135</v>
      </c>
      <c r="H48" s="207"/>
      <c r="I48" s="207"/>
      <c r="J48" s="208"/>
      <c r="S48" s="6"/>
    </row>
    <row r="49" ht="23.25" customHeight="1" spans="1:19" x14ac:dyDescent="0.25">
      <c r="A49" s="174" t="s">
        <v>85</v>
      </c>
      <c r="B49" s="175"/>
      <c r="C49" s="176" t="s">
        <v>86</v>
      </c>
      <c r="D49" s="176"/>
      <c r="E49" s="176"/>
      <c r="F49" s="177" t="s">
        <v>87</v>
      </c>
      <c r="G49" s="175"/>
      <c r="H49" s="175"/>
      <c r="I49" s="175"/>
      <c r="J49" s="197"/>
      <c r="S49" s="6"/>
    </row>
    <row r="50" ht="23.25" customHeight="1" spans="1:19" x14ac:dyDescent="0.25">
      <c r="A50" s="174" t="s">
        <v>88</v>
      </c>
      <c r="B50" s="175"/>
      <c r="C50" s="176"/>
      <c r="D50" s="176"/>
      <c r="E50" s="176"/>
      <c r="F50" s="183" t="s">
        <v>90</v>
      </c>
      <c r="G50" s="175"/>
      <c r="H50" s="175"/>
      <c r="I50" s="175"/>
      <c r="J50" s="197"/>
      <c r="S50" s="6"/>
    </row>
    <row r="51" ht="23.25" customHeight="1" spans="1:19" x14ac:dyDescent="0.25">
      <c r="A51" s="184" t="s">
        <v>91</v>
      </c>
      <c r="B51" s="185"/>
      <c r="C51" s="198" t="s">
        <v>136</v>
      </c>
      <c r="D51" s="198"/>
      <c r="E51" s="198"/>
      <c r="F51" s="189" t="s">
        <v>93</v>
      </c>
      <c r="G51" s="185"/>
      <c r="H51" s="185"/>
      <c r="I51" s="185"/>
      <c r="J51" s="199"/>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5" fitToWidth="1" fitToHeight="1" firstPageNumber="1" useFirstPageNumber="1" copies="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c r="C6" s="25"/>
      <c r="D6" s="25"/>
      <c r="E6" s="26"/>
      <c r="F6" s="27" t="s">
        <v>10</v>
      </c>
      <c r="G6" s="28"/>
      <c r="H6" s="29" t="s">
        <v>127</v>
      </c>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c r="I7" s="39"/>
      <c r="J7" s="41"/>
      <c r="L7" s="42"/>
      <c r="M7" s="42"/>
      <c r="N7" s="42"/>
      <c r="O7" s="42"/>
      <c r="P7" s="42"/>
      <c r="S7" s="6"/>
    </row>
    <row r="8" ht="18" customHeight="1" spans="1:19" x14ac:dyDescent="0.25">
      <c r="A8" s="43" t="s">
        <v>16</v>
      </c>
      <c r="B8" s="44" t="s">
        <v>128</v>
      </c>
      <c r="C8" s="45"/>
      <c r="D8" s="46" t="s">
        <v>129</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0.7300661657508131</v>
      </c>
      <c r="S10" s="6"/>
    </row>
    <row r="11" ht="19.5" customHeight="1" spans="1:19" x14ac:dyDescent="0.25">
      <c r="A11" s="43" t="s">
        <v>29</v>
      </c>
      <c r="B11" s="66" t="s">
        <v>30</v>
      </c>
      <c r="C11" s="67"/>
      <c r="D11" s="67"/>
      <c r="E11" s="68">
        <f>D24</f>
        <v>211719.18806773578</v>
      </c>
      <c r="F11" s="69" t="s">
        <v>31</v>
      </c>
      <c r="G11" s="70">
        <f>E11/8</f>
        <v>26464.898508466973</v>
      </c>
      <c r="H11" s="71" t="s">
        <v>32</v>
      </c>
      <c r="I11" s="71"/>
      <c r="J11" s="72"/>
      <c r="L11" s="60" t="s">
        <v>33</v>
      </c>
      <c r="M11" s="61">
        <v>9.6</v>
      </c>
      <c r="N11" s="62">
        <v>1</v>
      </c>
      <c r="O11" s="63">
        <v>4.34</v>
      </c>
      <c r="P11" s="64">
        <f>M11*O11</f>
        <v>41.663999999999994</v>
      </c>
      <c r="Q11" s="65">
        <f>P11/P15</f>
        <v>0.1460132331501626</v>
      </c>
      <c r="S11" s="6"/>
    </row>
    <row r="12" ht="17.25" customHeight="1" spans="1:19" x14ac:dyDescent="0.25">
      <c r="A12" s="50"/>
      <c r="B12" s="73" t="s">
        <v>34</v>
      </c>
      <c r="C12" s="74"/>
      <c r="D12" s="74"/>
      <c r="E12" s="74"/>
      <c r="F12" s="74"/>
      <c r="G12" s="74"/>
      <c r="H12" s="74"/>
      <c r="I12" s="74"/>
      <c r="J12" s="75"/>
      <c r="L12" s="60" t="s">
        <v>35</v>
      </c>
      <c r="M12" s="61">
        <v>12</v>
      </c>
      <c r="N12" s="62">
        <v>1</v>
      </c>
      <c r="O12" s="63">
        <v>0</v>
      </c>
      <c r="P12" s="64">
        <f>M12*N12*O12</f>
        <v>0</v>
      </c>
      <c r="Q12" s="65">
        <f>P12/P15</f>
        <v>0</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0.060838847145901084</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0.06308175395312325</v>
      </c>
      <c r="S14" s="6"/>
    </row>
    <row r="15" ht="13.5" customHeight="1" spans="1:19" x14ac:dyDescent="0.25">
      <c r="A15" s="50"/>
      <c r="B15" s="51" t="s">
        <v>38</v>
      </c>
      <c r="C15" s="52"/>
      <c r="D15" s="52"/>
      <c r="E15" s="52"/>
      <c r="F15" s="52"/>
      <c r="G15" s="52"/>
      <c r="H15" s="52"/>
      <c r="I15" s="52"/>
      <c r="J15" s="53"/>
      <c r="L15" s="81" t="s">
        <v>39</v>
      </c>
      <c r="M15" s="82"/>
      <c r="N15" s="82"/>
      <c r="O15" s="82">
        <v>0</v>
      </c>
      <c r="P15" s="83">
        <f>SUM(P10:P14)</f>
        <v>285.344</v>
      </c>
      <c r="Q15" s="84">
        <f>SUM(Q10:Q14)</f>
        <v>0.9999999999999999</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290000</v>
      </c>
      <c r="H18" s="92" t="s">
        <v>43</v>
      </c>
      <c r="I18" s="92"/>
      <c r="J18" s="93"/>
      <c r="L18" s="21"/>
      <c r="M18" s="85"/>
      <c r="P18" s="59"/>
      <c r="S18" s="6"/>
    </row>
    <row r="19" ht="15.75" customHeight="1" spans="1:19" x14ac:dyDescent="0.25">
      <c r="A19" s="50"/>
      <c r="B19" s="94" t="s">
        <v>108</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99" t="s">
        <v>109</v>
      </c>
      <c r="C21" s="100"/>
      <c r="D21" s="100"/>
      <c r="E21" s="100"/>
      <c r="F21" s="100"/>
      <c r="G21" s="100"/>
      <c r="H21" s="100"/>
      <c r="I21" s="100"/>
      <c r="J21" s="101"/>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0.7300661657508131</v>
      </c>
      <c r="E23" s="112">
        <f>Q11</f>
        <v>0.1460132331501626</v>
      </c>
      <c r="F23" s="112">
        <f>Q12</f>
        <v>0</v>
      </c>
      <c r="G23" s="113">
        <f>Q13</f>
        <v>0.060838847145901084</v>
      </c>
      <c r="H23" s="114"/>
      <c r="I23" s="113">
        <f>Q14</f>
        <v>0.06308175395312325</v>
      </c>
      <c r="J23" s="115"/>
      <c r="L23" s="97"/>
      <c r="M23" s="97"/>
      <c r="N23" s="97"/>
      <c r="O23" s="97"/>
      <c r="P23" s="97"/>
      <c r="Q23" s="97"/>
      <c r="R23" s="97"/>
      <c r="S23" s="1"/>
    </row>
    <row r="24" ht="18.75" customHeight="1" spans="1:19" x14ac:dyDescent="0.25">
      <c r="A24" s="116"/>
      <c r="B24" s="117" t="s">
        <v>56</v>
      </c>
      <c r="C24" s="118">
        <f>G11</f>
        <v>26464.898508466973</v>
      </c>
      <c r="D24" s="119">
        <f>G18*$D$23</f>
        <v>211719.18806773578</v>
      </c>
      <c r="E24" s="119">
        <f>G18*$E$23</f>
        <v>42343.837613547155</v>
      </c>
      <c r="F24" s="119">
        <f>G18*$F$23</f>
        <v>0</v>
      </c>
      <c r="G24" s="120">
        <f>G18*$G$23</f>
        <v>17643.265672311314</v>
      </c>
      <c r="H24" s="121"/>
      <c r="I24" s="122">
        <f>G18*$I$23</f>
        <v>18293.708646405743</v>
      </c>
      <c r="J24" s="123"/>
      <c r="L24" s="97"/>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211719.18806773578</v>
      </c>
      <c r="M27" s="133">
        <f>E24*5</f>
        <v>211719.18806773578</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110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111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112</v>
      </c>
      <c r="C45" s="160"/>
      <c r="D45" s="160"/>
      <c r="E45" s="160"/>
      <c r="F45" s="160"/>
      <c r="G45" s="160"/>
      <c r="H45" s="160"/>
      <c r="I45" s="160"/>
      <c r="J45" s="161"/>
      <c r="S45" s="1"/>
    </row>
    <row r="46" ht="19.5" customHeight="1" spans="1:19" x14ac:dyDescent="0.25">
      <c r="A46" s="162" t="s">
        <v>130</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2" t="s">
        <v>114</v>
      </c>
      <c r="H48" s="172"/>
      <c r="I48" s="172"/>
      <c r="J48" s="173"/>
      <c r="S48" s="6"/>
    </row>
    <row r="49" ht="23.25" customHeight="1" spans="1:19" x14ac:dyDescent="0.25">
      <c r="A49" s="174" t="s">
        <v>85</v>
      </c>
      <c r="B49" s="175"/>
      <c r="C49" s="176" t="s">
        <v>86</v>
      </c>
      <c r="D49" s="176"/>
      <c r="E49" s="176"/>
      <c r="F49" s="177" t="s">
        <v>87</v>
      </c>
      <c r="G49" s="175"/>
      <c r="H49" s="175"/>
      <c r="I49" s="175"/>
      <c r="J49" s="197"/>
      <c r="S49" s="6"/>
    </row>
    <row r="50" ht="23.25" customHeight="1" spans="1:19" x14ac:dyDescent="0.25">
      <c r="A50" s="174" t="s">
        <v>88</v>
      </c>
      <c r="B50" s="175"/>
      <c r="C50" s="176"/>
      <c r="D50" s="176"/>
      <c r="E50" s="176"/>
      <c r="F50" s="183" t="s">
        <v>90</v>
      </c>
      <c r="G50" s="175"/>
      <c r="H50" s="175"/>
      <c r="I50" s="175"/>
      <c r="J50" s="197"/>
      <c r="S50" s="6"/>
    </row>
    <row r="51" ht="23.25" customHeight="1" spans="1:19" x14ac:dyDescent="0.25">
      <c r="A51" s="184" t="s">
        <v>91</v>
      </c>
      <c r="B51" s="185"/>
      <c r="C51" s="198" t="s">
        <v>131</v>
      </c>
      <c r="D51" s="198"/>
      <c r="E51" s="198"/>
      <c r="F51" s="189" t="s">
        <v>93</v>
      </c>
      <c r="G51" s="185"/>
      <c r="H51" s="185"/>
      <c r="I51" s="185"/>
      <c r="J51" s="199"/>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5" fitToWidth="1" fitToHeight="1" firstPageNumber="1" useFirstPageNumber="1" copies="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t="s">
        <v>105</v>
      </c>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t="s">
        <v>3</v>
      </c>
      <c r="I7" s="39"/>
      <c r="J7" s="41"/>
      <c r="L7" s="42"/>
      <c r="M7" s="42"/>
      <c r="N7" s="42"/>
      <c r="O7" s="42"/>
      <c r="P7" s="42"/>
      <c r="S7" s="6"/>
    </row>
    <row r="8" ht="18" customHeight="1" spans="1:19" x14ac:dyDescent="0.25">
      <c r="A8" s="43" t="s">
        <v>16</v>
      </c>
      <c r="B8" s="44" t="s">
        <v>123</v>
      </c>
      <c r="C8" s="45"/>
      <c r="D8" s="46" t="s">
        <v>124</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0.7006026689625484</v>
      </c>
      <c r="S10" s="6"/>
    </row>
    <row r="11" ht="19.5" customHeight="1" spans="1:19" x14ac:dyDescent="0.25">
      <c r="A11" s="43" t="s">
        <v>29</v>
      </c>
      <c r="B11" s="66" t="s">
        <v>30</v>
      </c>
      <c r="C11" s="67"/>
      <c r="D11" s="67"/>
      <c r="E11" s="68">
        <f>D24</f>
        <v>210180.80068876452</v>
      </c>
      <c r="F11" s="69" t="s">
        <v>31</v>
      </c>
      <c r="G11" s="70">
        <f>E11/8</f>
        <v>26272.600086095565</v>
      </c>
      <c r="H11" s="71" t="s">
        <v>32</v>
      </c>
      <c r="I11" s="71"/>
      <c r="J11" s="72"/>
      <c r="L11" s="60" t="s">
        <v>33</v>
      </c>
      <c r="M11" s="61">
        <v>9.6</v>
      </c>
      <c r="N11" s="62">
        <v>1</v>
      </c>
      <c r="O11" s="63">
        <v>4.34</v>
      </c>
      <c r="P11" s="64">
        <f>M11*O11</f>
        <v>41.663999999999994</v>
      </c>
      <c r="Q11" s="65">
        <f>P11/P15</f>
        <v>0.14012053379250966</v>
      </c>
      <c r="S11" s="6"/>
    </row>
    <row r="12" ht="17.25" customHeight="1" spans="1:19" x14ac:dyDescent="0.25">
      <c r="A12" s="50"/>
      <c r="B12" s="73" t="s">
        <v>34</v>
      </c>
      <c r="C12" s="74"/>
      <c r="D12" s="74"/>
      <c r="E12" s="74"/>
      <c r="F12" s="74"/>
      <c r="G12" s="74"/>
      <c r="H12" s="74"/>
      <c r="I12" s="74"/>
      <c r="J12" s="75"/>
      <c r="L12" s="60" t="s">
        <v>35</v>
      </c>
      <c r="M12" s="61">
        <v>12</v>
      </c>
      <c r="N12" s="62">
        <v>1</v>
      </c>
      <c r="O12" s="63">
        <v>1</v>
      </c>
      <c r="P12" s="64">
        <f>M12*N12*O12</f>
        <v>12</v>
      </c>
      <c r="Q12" s="65">
        <f>P12/P15</f>
        <v>0.04035729659922514</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0.058383555746879034</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0.060535944898837714</v>
      </c>
      <c r="S14" s="6"/>
    </row>
    <row r="15" ht="13.5" customHeight="1" spans="1:19" x14ac:dyDescent="0.25">
      <c r="A15" s="50"/>
      <c r="B15" s="51" t="s">
        <v>38</v>
      </c>
      <c r="C15" s="52"/>
      <c r="D15" s="52"/>
      <c r="E15" s="52"/>
      <c r="F15" s="52"/>
      <c r="G15" s="52"/>
      <c r="H15" s="52"/>
      <c r="I15" s="52"/>
      <c r="J15" s="53"/>
      <c r="L15" s="81" t="s">
        <v>39</v>
      </c>
      <c r="M15" s="82"/>
      <c r="N15" s="82"/>
      <c r="O15" s="82">
        <v>0</v>
      </c>
      <c r="P15" s="83">
        <f>SUM(P10:P14)</f>
        <v>297.344</v>
      </c>
      <c r="Q15" s="84">
        <f>SUM(Q10:Q14)</f>
        <v>1</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300000</v>
      </c>
      <c r="H18" s="92" t="s">
        <v>43</v>
      </c>
      <c r="I18" s="92"/>
      <c r="J18" s="93"/>
      <c r="L18" s="21"/>
      <c r="M18" s="85"/>
      <c r="P18" s="59"/>
      <c r="S18" s="6"/>
    </row>
    <row r="19" ht="15.75" customHeight="1" spans="1:19" x14ac:dyDescent="0.25">
      <c r="A19" s="50"/>
      <c r="B19" s="94" t="s">
        <v>125</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99" t="s">
        <v>109</v>
      </c>
      <c r="C21" s="100"/>
      <c r="D21" s="100"/>
      <c r="E21" s="100"/>
      <c r="F21" s="100"/>
      <c r="G21" s="100"/>
      <c r="H21" s="100"/>
      <c r="I21" s="100"/>
      <c r="J21" s="101"/>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0.7006026689625484</v>
      </c>
      <c r="E23" s="112">
        <f>Q11</f>
        <v>0.14012053379250966</v>
      </c>
      <c r="F23" s="112">
        <f>Q12</f>
        <v>0.04035729659922514</v>
      </c>
      <c r="G23" s="113">
        <f>Q13</f>
        <v>0.058383555746879034</v>
      </c>
      <c r="H23" s="114"/>
      <c r="I23" s="113">
        <f>Q14</f>
        <v>0.060535944898837714</v>
      </c>
      <c r="J23" s="115"/>
      <c r="L23" s="97"/>
      <c r="M23" s="97"/>
      <c r="N23" s="97"/>
      <c r="O23" s="97"/>
      <c r="P23" s="97"/>
      <c r="Q23" s="97"/>
      <c r="R23" s="97"/>
      <c r="S23" s="1"/>
    </row>
    <row r="24" ht="18.75" customHeight="1" spans="1:19" x14ac:dyDescent="0.25">
      <c r="A24" s="116"/>
      <c r="B24" s="117" t="s">
        <v>56</v>
      </c>
      <c r="C24" s="118">
        <f>G11</f>
        <v>26272.600086095565</v>
      </c>
      <c r="D24" s="119">
        <f>G18*$D$23</f>
        <v>210180.80068876452</v>
      </c>
      <c r="E24" s="119">
        <f>G18*$E$23</f>
        <v>42036.1601377529</v>
      </c>
      <c r="F24" s="119">
        <f>G18*$F$23</f>
        <v>12107.188979767543</v>
      </c>
      <c r="G24" s="120">
        <f>G18*$G$23</f>
        <v>17515.06672406371</v>
      </c>
      <c r="H24" s="121"/>
      <c r="I24" s="122">
        <f>G18*$I$23</f>
        <v>18160.783469651313</v>
      </c>
      <c r="J24" s="123"/>
      <c r="L24" s="97"/>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210180.80068876452</v>
      </c>
      <c r="M27" s="133">
        <f>E24*5</f>
        <v>210180.8006887645</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110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111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112</v>
      </c>
      <c r="C45" s="160"/>
      <c r="D45" s="160"/>
      <c r="E45" s="160"/>
      <c r="F45" s="160"/>
      <c r="G45" s="160"/>
      <c r="H45" s="160"/>
      <c r="I45" s="160"/>
      <c r="J45" s="161"/>
      <c r="S45" s="1"/>
    </row>
    <row r="46" ht="19.5" customHeight="1" spans="1:19" x14ac:dyDescent="0.25">
      <c r="A46" s="162" t="s">
        <v>126</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2" t="s">
        <v>114</v>
      </c>
      <c r="H48" s="172"/>
      <c r="I48" s="172"/>
      <c r="J48" s="173"/>
      <c r="S48" s="6"/>
    </row>
    <row r="49" ht="23.25" customHeight="1" spans="1:19" x14ac:dyDescent="0.25">
      <c r="A49" s="174" t="s">
        <v>85</v>
      </c>
      <c r="B49" s="175"/>
      <c r="C49" s="176" t="s">
        <v>86</v>
      </c>
      <c r="D49" s="176"/>
      <c r="E49" s="176"/>
      <c r="F49" s="177" t="s">
        <v>87</v>
      </c>
      <c r="G49" s="175"/>
      <c r="H49" s="175"/>
      <c r="I49" s="175"/>
      <c r="J49" s="197"/>
      <c r="S49" s="6"/>
    </row>
    <row r="50" ht="23.25" customHeight="1" spans="1:19" x14ac:dyDescent="0.25">
      <c r="A50" s="174" t="s">
        <v>88</v>
      </c>
      <c r="B50" s="175"/>
      <c r="C50" s="175"/>
      <c r="D50" s="175"/>
      <c r="E50" s="175"/>
      <c r="F50" s="183" t="s">
        <v>90</v>
      </c>
      <c r="G50" s="175"/>
      <c r="H50" s="175"/>
      <c r="I50" s="175"/>
      <c r="J50" s="197"/>
      <c r="S50" s="6"/>
    </row>
    <row r="51" ht="23.25" customHeight="1" spans="1:19" x14ac:dyDescent="0.25">
      <c r="A51" s="184" t="s">
        <v>91</v>
      </c>
      <c r="B51" s="185"/>
      <c r="C51" s="198" t="s">
        <v>75</v>
      </c>
      <c r="D51" s="198"/>
      <c r="E51" s="198"/>
      <c r="F51" s="189" t="s">
        <v>93</v>
      </c>
      <c r="G51" s="185"/>
      <c r="H51" s="185"/>
      <c r="I51" s="185"/>
      <c r="J51" s="199"/>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5"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c r="I7" s="39"/>
      <c r="J7" s="41"/>
      <c r="L7" s="42"/>
      <c r="M7" s="42"/>
      <c r="N7" s="42"/>
      <c r="O7" s="42"/>
      <c r="P7" s="42"/>
      <c r="S7" s="6"/>
    </row>
    <row r="8" ht="18" customHeight="1" spans="1:19" x14ac:dyDescent="0.25">
      <c r="A8" s="43" t="s">
        <v>16</v>
      </c>
      <c r="B8" s="44" t="s">
        <v>118</v>
      </c>
      <c r="C8" s="45"/>
      <c r="D8" s="46" t="s">
        <v>119</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0.6734250543084721</v>
      </c>
      <c r="S10" s="6"/>
    </row>
    <row r="11" ht="19.5" customHeight="1" spans="1:19" x14ac:dyDescent="0.25">
      <c r="A11" s="43" t="s">
        <v>29</v>
      </c>
      <c r="B11" s="66" t="s">
        <v>30</v>
      </c>
      <c r="C11" s="67"/>
      <c r="D11" s="67"/>
      <c r="E11" s="68">
        <f>D24</f>
        <v>80811.00651701665</v>
      </c>
      <c r="F11" s="69" t="s">
        <v>31</v>
      </c>
      <c r="G11" s="70">
        <f>E11/8</f>
        <v>10101.375814627081</v>
      </c>
      <c r="H11" s="71" t="s">
        <v>32</v>
      </c>
      <c r="I11" s="71"/>
      <c r="J11" s="72"/>
      <c r="L11" s="60" t="s">
        <v>33</v>
      </c>
      <c r="M11" s="61">
        <v>9.6</v>
      </c>
      <c r="N11" s="62">
        <v>1</v>
      </c>
      <c r="O11" s="63">
        <v>4.34</v>
      </c>
      <c r="P11" s="64">
        <f>M11*O11</f>
        <v>41.663999999999994</v>
      </c>
      <c r="Q11" s="65">
        <f>P11/P15</f>
        <v>0.1346850108616944</v>
      </c>
      <c r="S11" s="6"/>
    </row>
    <row r="12" ht="17.25" customHeight="1" spans="1:19" x14ac:dyDescent="0.25">
      <c r="A12" s="50"/>
      <c r="B12" s="73" t="s">
        <v>34</v>
      </c>
      <c r="C12" s="74"/>
      <c r="D12" s="74"/>
      <c r="E12" s="74"/>
      <c r="F12" s="74"/>
      <c r="G12" s="74"/>
      <c r="H12" s="74"/>
      <c r="I12" s="74"/>
      <c r="J12" s="75"/>
      <c r="L12" s="60" t="s">
        <v>35</v>
      </c>
      <c r="M12" s="61">
        <v>12</v>
      </c>
      <c r="N12" s="62">
        <v>1</v>
      </c>
      <c r="O12" s="63">
        <v>2</v>
      </c>
      <c r="P12" s="64">
        <f>M12*N12*O12</f>
        <v>24</v>
      </c>
      <c r="Q12" s="65">
        <f>P12/P15</f>
        <v>0.07758353160235854</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0.056118754525706006</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0.05818764870176891</v>
      </c>
      <c r="S14" s="6"/>
    </row>
    <row r="15" ht="13.5" customHeight="1" spans="1:19" x14ac:dyDescent="0.25">
      <c r="A15" s="50"/>
      <c r="B15" s="51" t="s">
        <v>38</v>
      </c>
      <c r="C15" s="52"/>
      <c r="D15" s="52"/>
      <c r="E15" s="52"/>
      <c r="F15" s="52"/>
      <c r="G15" s="52"/>
      <c r="H15" s="52"/>
      <c r="I15" s="52"/>
      <c r="J15" s="53"/>
      <c r="L15" s="81" t="s">
        <v>39</v>
      </c>
      <c r="M15" s="82"/>
      <c r="N15" s="82"/>
      <c r="O15" s="82">
        <v>0</v>
      </c>
      <c r="P15" s="83">
        <f>SUM(P10:P14)</f>
        <v>309.344</v>
      </c>
      <c r="Q15" s="84">
        <f>SUM(Q10:Q14)</f>
        <v>1</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120000</v>
      </c>
      <c r="H18" s="92" t="s">
        <v>43</v>
      </c>
      <c r="I18" s="92"/>
      <c r="J18" s="93"/>
      <c r="L18" s="21"/>
      <c r="M18" s="85"/>
      <c r="P18" s="59"/>
      <c r="S18" s="6"/>
    </row>
    <row r="19" ht="15.75" customHeight="1" spans="1:19" x14ac:dyDescent="0.25">
      <c r="A19" s="50"/>
      <c r="B19" s="94" t="s">
        <v>108</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99" t="s">
        <v>109</v>
      </c>
      <c r="C21" s="100"/>
      <c r="D21" s="100"/>
      <c r="E21" s="100"/>
      <c r="F21" s="100"/>
      <c r="G21" s="100"/>
      <c r="H21" s="100"/>
      <c r="I21" s="100"/>
      <c r="J21" s="101"/>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0.6734250543084721</v>
      </c>
      <c r="E23" s="112">
        <f>Q11</f>
        <v>0.1346850108616944</v>
      </c>
      <c r="F23" s="112">
        <f>Q12</f>
        <v>0.07758353160235854</v>
      </c>
      <c r="G23" s="113">
        <f>Q13</f>
        <v>0.056118754525706006</v>
      </c>
      <c r="H23" s="114"/>
      <c r="I23" s="113">
        <f>Q14</f>
        <v>0.05818764870176891</v>
      </c>
      <c r="J23" s="115"/>
      <c r="L23" s="97"/>
      <c r="M23" s="97"/>
      <c r="N23" s="97"/>
      <c r="O23" s="97"/>
      <c r="P23" s="97"/>
      <c r="Q23" s="97"/>
      <c r="R23" s="97"/>
      <c r="S23" s="1"/>
    </row>
    <row r="24" ht="18.75" customHeight="1" spans="1:19" x14ac:dyDescent="0.25">
      <c r="A24" s="116"/>
      <c r="B24" s="117" t="s">
        <v>56</v>
      </c>
      <c r="C24" s="118">
        <f>G11</f>
        <v>10101.375814627081</v>
      </c>
      <c r="D24" s="119">
        <f>G18*$D$23</f>
        <v>80811.00651701665</v>
      </c>
      <c r="E24" s="119">
        <f>G18*$E$23</f>
        <v>16162.201303403328</v>
      </c>
      <c r="F24" s="119">
        <f>G18*$F$23</f>
        <v>9310.023792283024</v>
      </c>
      <c r="G24" s="120">
        <f>G18*$G$23</f>
        <v>6734.25054308472</v>
      </c>
      <c r="H24" s="121"/>
      <c r="I24" s="122">
        <f>G18*$I$23</f>
        <v>6982.517844212269</v>
      </c>
      <c r="J24" s="123"/>
      <c r="L24" s="97"/>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80811.00651701665</v>
      </c>
      <c r="M27" s="133">
        <f>E24*5</f>
        <v>80811.00651701663</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110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111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112</v>
      </c>
      <c r="C45" s="160"/>
      <c r="D45" s="160"/>
      <c r="E45" s="160"/>
      <c r="F45" s="160"/>
      <c r="G45" s="160"/>
      <c r="H45" s="160"/>
      <c r="I45" s="160"/>
      <c r="J45" s="161"/>
      <c r="S45" s="1"/>
    </row>
    <row r="46" ht="19.5" customHeight="1" spans="1:19" x14ac:dyDescent="0.25">
      <c r="A46" s="162" t="s">
        <v>120</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1" t="s">
        <v>121</v>
      </c>
      <c r="H48" s="171"/>
      <c r="I48" s="171"/>
      <c r="J48" s="204"/>
      <c r="S48" s="6"/>
    </row>
    <row r="49" ht="23.25" customHeight="1" spans="1:19" x14ac:dyDescent="0.25">
      <c r="A49" s="174" t="s">
        <v>85</v>
      </c>
      <c r="B49" s="175"/>
      <c r="C49" s="176" t="s">
        <v>86</v>
      </c>
      <c r="D49" s="176"/>
      <c r="E49" s="176"/>
      <c r="F49" s="177" t="s">
        <v>87</v>
      </c>
      <c r="G49" s="183"/>
      <c r="H49" s="183"/>
      <c r="I49" s="183"/>
      <c r="J49" s="205"/>
      <c r="S49" s="6"/>
    </row>
    <row r="50" ht="23.25" customHeight="1" spans="1:19" x14ac:dyDescent="0.25">
      <c r="A50" s="174" t="s">
        <v>88</v>
      </c>
      <c r="B50" s="175"/>
      <c r="C50" s="175"/>
      <c r="D50" s="175"/>
      <c r="E50" s="175"/>
      <c r="F50" s="183" t="s">
        <v>90</v>
      </c>
      <c r="G50" s="183"/>
      <c r="H50" s="183"/>
      <c r="I50" s="183"/>
      <c r="J50" s="205"/>
      <c r="S50" s="6"/>
    </row>
    <row r="51" ht="23.25" customHeight="1" spans="1:19" x14ac:dyDescent="0.25">
      <c r="A51" s="184" t="s">
        <v>91</v>
      </c>
      <c r="B51" s="185"/>
      <c r="C51" s="198" t="s">
        <v>122</v>
      </c>
      <c r="D51" s="198"/>
      <c r="E51" s="198"/>
      <c r="F51" s="189" t="s">
        <v>93</v>
      </c>
      <c r="G51" s="189"/>
      <c r="H51" s="189"/>
      <c r="I51" s="189"/>
      <c r="J51" s="206"/>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5"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t="s">
        <v>105</v>
      </c>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t="s">
        <v>3</v>
      </c>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t="s">
        <v>3</v>
      </c>
      <c r="I7" s="39"/>
      <c r="J7" s="41"/>
      <c r="L7" s="42"/>
      <c r="M7" s="42"/>
      <c r="N7" s="42"/>
      <c r="O7" s="42"/>
      <c r="P7" s="42"/>
      <c r="S7" s="6"/>
    </row>
    <row r="8" ht="18" customHeight="1" spans="1:19" x14ac:dyDescent="0.25">
      <c r="A8" s="43" t="s">
        <v>16</v>
      </c>
      <c r="B8" s="44" t="s">
        <v>115</v>
      </c>
      <c r="C8" s="45"/>
      <c r="D8" s="46" t="s">
        <v>116</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0.7300661657508131</v>
      </c>
      <c r="S10" s="6"/>
    </row>
    <row r="11" ht="19.5" customHeight="1" spans="1:19" x14ac:dyDescent="0.25">
      <c r="A11" s="43" t="s">
        <v>29</v>
      </c>
      <c r="B11" s="66" t="s">
        <v>30</v>
      </c>
      <c r="C11" s="67"/>
      <c r="D11" s="67"/>
      <c r="E11" s="68">
        <f>D24</f>
        <v>73279.99999999997</v>
      </c>
      <c r="F11" s="69" t="s">
        <v>31</v>
      </c>
      <c r="G11" s="70">
        <f>E11/8</f>
        <v>9159.999999999996</v>
      </c>
      <c r="H11" s="71" t="s">
        <v>32</v>
      </c>
      <c r="I11" s="71"/>
      <c r="J11" s="72"/>
      <c r="L11" s="60" t="s">
        <v>33</v>
      </c>
      <c r="M11" s="61">
        <v>9.6</v>
      </c>
      <c r="N11" s="62">
        <v>1</v>
      </c>
      <c r="O11" s="63">
        <v>4.34</v>
      </c>
      <c r="P11" s="64">
        <f>M11*O11</f>
        <v>41.663999999999994</v>
      </c>
      <c r="Q11" s="65">
        <f>P11/P15</f>
        <v>0.1460132331501626</v>
      </c>
      <c r="S11" s="6"/>
    </row>
    <row r="12" ht="17.25" customHeight="1" spans="1:19" x14ac:dyDescent="0.25">
      <c r="A12" s="50"/>
      <c r="B12" s="73" t="s">
        <v>34</v>
      </c>
      <c r="C12" s="74"/>
      <c r="D12" s="74"/>
      <c r="E12" s="74"/>
      <c r="F12" s="74"/>
      <c r="G12" s="74"/>
      <c r="H12" s="74"/>
      <c r="I12" s="74"/>
      <c r="J12" s="75"/>
      <c r="L12" s="60" t="s">
        <v>35</v>
      </c>
      <c r="M12" s="61">
        <v>12</v>
      </c>
      <c r="N12" s="62">
        <v>1</v>
      </c>
      <c r="O12" s="63">
        <v>0</v>
      </c>
      <c r="P12" s="64">
        <f>M12*N12*O12</f>
        <v>0</v>
      </c>
      <c r="Q12" s="65">
        <f>P12/P15</f>
        <v>0</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0.060838847145901084</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0.06308175395312325</v>
      </c>
      <c r="S14" s="6"/>
    </row>
    <row r="15" ht="13.5" customHeight="1" spans="1:19" x14ac:dyDescent="0.25">
      <c r="A15" s="50"/>
      <c r="B15" s="51" t="s">
        <v>38</v>
      </c>
      <c r="C15" s="52"/>
      <c r="D15" s="52"/>
      <c r="E15" s="52"/>
      <c r="F15" s="52"/>
      <c r="G15" s="52"/>
      <c r="H15" s="52"/>
      <c r="I15" s="52"/>
      <c r="J15" s="53"/>
      <c r="L15" s="81" t="s">
        <v>39</v>
      </c>
      <c r="M15" s="82"/>
      <c r="N15" s="82"/>
      <c r="O15" s="82">
        <v>0</v>
      </c>
      <c r="P15" s="83">
        <f>SUM(P10:P14)</f>
        <v>285.344</v>
      </c>
      <c r="Q15" s="84">
        <f>SUM(Q10:Q14)</f>
        <v>0.9999999999999999</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100374.46390168967</v>
      </c>
      <c r="H18" s="92" t="s">
        <v>43</v>
      </c>
      <c r="I18" s="92"/>
      <c r="J18" s="93"/>
      <c r="L18" s="21"/>
      <c r="M18" s="85"/>
      <c r="P18" s="59"/>
      <c r="S18" s="6"/>
    </row>
    <row r="19" ht="15.75" customHeight="1" spans="1:19" x14ac:dyDescent="0.25">
      <c r="A19" s="50"/>
      <c r="B19" s="94" t="s">
        <v>108</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c r="M20" s="97"/>
      <c r="N20" s="97"/>
      <c r="O20" s="97"/>
      <c r="P20" s="97"/>
      <c r="Q20" s="98"/>
      <c r="S20" s="6"/>
    </row>
    <row r="21" ht="15.75" customHeight="1" spans="1:19" x14ac:dyDescent="0.25">
      <c r="A21" s="50"/>
      <c r="B21" s="99" t="s">
        <v>109</v>
      </c>
      <c r="C21" s="100"/>
      <c r="D21" s="100"/>
      <c r="E21" s="100"/>
      <c r="F21" s="100"/>
      <c r="G21" s="100"/>
      <c r="H21" s="100"/>
      <c r="I21" s="100"/>
      <c r="J21" s="101"/>
      <c r="L21" s="97"/>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47</v>
      </c>
      <c r="M22" s="97"/>
      <c r="N22" s="97"/>
      <c r="O22" s="97"/>
      <c r="P22" s="97"/>
      <c r="Q22" s="98"/>
      <c r="R22" s="97"/>
      <c r="S22" s="1"/>
    </row>
    <row r="23" ht="18.75" customHeight="1" spans="1:19" x14ac:dyDescent="0.25">
      <c r="A23" s="109"/>
      <c r="B23" s="110" t="s">
        <v>55</v>
      </c>
      <c r="C23" s="111"/>
      <c r="D23" s="112">
        <f>Q10</f>
        <v>0.7300661657508131</v>
      </c>
      <c r="E23" s="112">
        <f>Q11</f>
        <v>0.1460132331501626</v>
      </c>
      <c r="F23" s="112">
        <f>Q12</f>
        <v>0</v>
      </c>
      <c r="G23" s="113">
        <f>Q13</f>
        <v>0.060838847145901084</v>
      </c>
      <c r="H23" s="114"/>
      <c r="I23" s="113">
        <f>Q14</f>
        <v>0.06308175395312325</v>
      </c>
      <c r="J23" s="115"/>
      <c r="L23" s="97" t="s">
        <v>49</v>
      </c>
      <c r="M23" s="97"/>
      <c r="N23" s="97"/>
      <c r="O23" s="97"/>
      <c r="P23" s="97"/>
      <c r="Q23" s="97"/>
      <c r="R23" s="97"/>
      <c r="S23" s="1"/>
    </row>
    <row r="24" ht="18.75" customHeight="1" spans="1:19" x14ac:dyDescent="0.25">
      <c r="A24" s="116"/>
      <c r="B24" s="117" t="s">
        <v>56</v>
      </c>
      <c r="C24" s="118">
        <f>G11</f>
        <v>9159.999999999996</v>
      </c>
      <c r="D24" s="119">
        <f>G18*$D$23</f>
        <v>73279.99999999997</v>
      </c>
      <c r="E24" s="119">
        <f>G18*$E$23</f>
        <v>14655.999999999993</v>
      </c>
      <c r="F24" s="119">
        <f>G18*$F$23</f>
        <v>0</v>
      </c>
      <c r="G24" s="120">
        <f>G18*$G$23</f>
        <v>6106.666666666664</v>
      </c>
      <c r="H24" s="121"/>
      <c r="I24" s="122">
        <f>G18*$I$23</f>
        <v>6331.797235023039</v>
      </c>
      <c r="J24" s="123"/>
      <c r="L24" s="97" t="s">
        <v>54</v>
      </c>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73279.99999999997</v>
      </c>
      <c r="M27" s="133">
        <f>E24*5</f>
        <v>73279.99999999997</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110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111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112</v>
      </c>
      <c r="C45" s="160"/>
      <c r="D45" s="160"/>
      <c r="E45" s="160"/>
      <c r="F45" s="160"/>
      <c r="G45" s="160"/>
      <c r="H45" s="160"/>
      <c r="I45" s="160"/>
      <c r="J45" s="161"/>
      <c r="S45" s="1"/>
    </row>
    <row r="46" ht="19.5" customHeight="1" spans="1:19" x14ac:dyDescent="0.25">
      <c r="A46" s="162" t="s">
        <v>117</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2" t="s">
        <v>114</v>
      </c>
      <c r="H48" s="172"/>
      <c r="I48" s="172"/>
      <c r="J48" s="173"/>
      <c r="S48" s="6"/>
    </row>
    <row r="49" ht="23.25" customHeight="1" spans="1:19" x14ac:dyDescent="0.25">
      <c r="A49" s="174" t="s">
        <v>85</v>
      </c>
      <c r="B49" s="175"/>
      <c r="C49" s="176" t="s">
        <v>86</v>
      </c>
      <c r="D49" s="176"/>
      <c r="E49" s="176"/>
      <c r="F49" s="177" t="s">
        <v>87</v>
      </c>
      <c r="G49" s="200"/>
      <c r="H49" s="200"/>
      <c r="I49" s="200"/>
      <c r="J49" s="201"/>
      <c r="S49" s="6"/>
    </row>
    <row r="50" ht="23.25" customHeight="1" spans="1:19" x14ac:dyDescent="0.25">
      <c r="A50" s="174" t="s">
        <v>88</v>
      </c>
      <c r="B50" s="175"/>
      <c r="C50" s="175"/>
      <c r="D50" s="175"/>
      <c r="E50" s="175"/>
      <c r="F50" s="183" t="s">
        <v>90</v>
      </c>
      <c r="G50" s="200"/>
      <c r="H50" s="200"/>
      <c r="I50" s="200"/>
      <c r="J50" s="201"/>
      <c r="S50" s="6"/>
    </row>
    <row r="51" ht="23.25" customHeight="1" spans="1:19" x14ac:dyDescent="0.25">
      <c r="A51" s="184" t="s">
        <v>91</v>
      </c>
      <c r="B51" s="185"/>
      <c r="C51" s="198" t="s">
        <v>75</v>
      </c>
      <c r="D51" s="198"/>
      <c r="E51" s="198"/>
      <c r="F51" s="189" t="s">
        <v>93</v>
      </c>
      <c r="G51" s="202"/>
      <c r="H51" s="202"/>
      <c r="I51" s="202"/>
      <c r="J51" s="203"/>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4"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t="s">
        <v>105</v>
      </c>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t="s">
        <v>3</v>
      </c>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t="s">
        <v>3</v>
      </c>
      <c r="I7" s="39"/>
      <c r="J7" s="41"/>
      <c r="L7" s="42"/>
      <c r="M7" s="42"/>
      <c r="N7" s="42"/>
      <c r="O7" s="42"/>
      <c r="P7" s="42"/>
      <c r="S7" s="6"/>
    </row>
    <row r="8" ht="18" customHeight="1" spans="1:19" x14ac:dyDescent="0.25">
      <c r="A8" s="43" t="s">
        <v>16</v>
      </c>
      <c r="B8" s="44" t="s">
        <v>106</v>
      </c>
      <c r="C8" s="45"/>
      <c r="D8" s="46" t="s">
        <v>107</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0.6734250543084721</v>
      </c>
      <c r="S10" s="6"/>
    </row>
    <row r="11" ht="19.5" customHeight="1" spans="1:19" x14ac:dyDescent="0.25">
      <c r="A11" s="43" t="s">
        <v>29</v>
      </c>
      <c r="B11" s="66" t="s">
        <v>30</v>
      </c>
      <c r="C11" s="67"/>
      <c r="D11" s="67"/>
      <c r="E11" s="68">
        <f>D24</f>
        <v>73279.99999999999</v>
      </c>
      <c r="F11" s="69" t="s">
        <v>31</v>
      </c>
      <c r="G11" s="70">
        <f>E11/8</f>
        <v>9159.999999999998</v>
      </c>
      <c r="H11" s="71" t="s">
        <v>32</v>
      </c>
      <c r="I11" s="71"/>
      <c r="J11" s="72"/>
      <c r="L11" s="60" t="s">
        <v>33</v>
      </c>
      <c r="M11" s="61">
        <v>9.6</v>
      </c>
      <c r="N11" s="62">
        <v>1</v>
      </c>
      <c r="O11" s="63">
        <v>4.34</v>
      </c>
      <c r="P11" s="64">
        <f>M11*O11</f>
        <v>41.663999999999994</v>
      </c>
      <c r="Q11" s="65">
        <f>P11/P15</f>
        <v>0.1346850108616944</v>
      </c>
      <c r="S11" s="6"/>
    </row>
    <row r="12" ht="17.25" customHeight="1" spans="1:19" x14ac:dyDescent="0.25">
      <c r="A12" s="50"/>
      <c r="B12" s="73" t="s">
        <v>34</v>
      </c>
      <c r="C12" s="74"/>
      <c r="D12" s="74"/>
      <c r="E12" s="74"/>
      <c r="F12" s="74"/>
      <c r="G12" s="74"/>
      <c r="H12" s="74"/>
      <c r="I12" s="74"/>
      <c r="J12" s="75"/>
      <c r="L12" s="60" t="s">
        <v>35</v>
      </c>
      <c r="M12" s="61">
        <v>12</v>
      </c>
      <c r="N12" s="62">
        <v>1</v>
      </c>
      <c r="O12" s="63">
        <v>2</v>
      </c>
      <c r="P12" s="64">
        <f>M12*N12*O12</f>
        <v>24</v>
      </c>
      <c r="Q12" s="65">
        <f>P12/P15</f>
        <v>0.07758353160235854</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0.056118754525706006</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0.05818764870176891</v>
      </c>
      <c r="S14" s="6"/>
    </row>
    <row r="15" ht="13.5" customHeight="1" spans="1:19" x14ac:dyDescent="0.25">
      <c r="A15" s="50"/>
      <c r="B15" s="51" t="s">
        <v>38</v>
      </c>
      <c r="C15" s="52"/>
      <c r="D15" s="52"/>
      <c r="E15" s="52"/>
      <c r="F15" s="52"/>
      <c r="G15" s="52"/>
      <c r="H15" s="52"/>
      <c r="I15" s="52"/>
      <c r="J15" s="53"/>
      <c r="L15" s="81" t="s">
        <v>39</v>
      </c>
      <c r="M15" s="82"/>
      <c r="N15" s="82"/>
      <c r="O15" s="82">
        <v>0</v>
      </c>
      <c r="P15" s="83">
        <f>SUM(P10:P14)</f>
        <v>309.344</v>
      </c>
      <c r="Q15" s="84">
        <f>SUM(Q10:Q14)</f>
        <v>1</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108816.86021505375</v>
      </c>
      <c r="H18" s="92" t="s">
        <v>43</v>
      </c>
      <c r="I18" s="92"/>
      <c r="J18" s="93"/>
      <c r="L18" s="21"/>
      <c r="M18" s="85"/>
      <c r="P18" s="59"/>
      <c r="S18" s="6"/>
    </row>
    <row r="19" ht="15.75" customHeight="1" spans="1:19" x14ac:dyDescent="0.25">
      <c r="A19" s="50"/>
      <c r="B19" s="94" t="s">
        <v>108</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c r="M20" s="97"/>
      <c r="N20" s="97"/>
      <c r="O20" s="97"/>
      <c r="P20" s="97"/>
      <c r="Q20" s="98"/>
      <c r="S20" s="6"/>
    </row>
    <row r="21" ht="15.75" customHeight="1" spans="1:19" x14ac:dyDescent="0.25">
      <c r="A21" s="50"/>
      <c r="B21" s="99" t="s">
        <v>109</v>
      </c>
      <c r="C21" s="100"/>
      <c r="D21" s="100"/>
      <c r="E21" s="100"/>
      <c r="F21" s="100"/>
      <c r="G21" s="100"/>
      <c r="H21" s="100"/>
      <c r="I21" s="100"/>
      <c r="J21" s="101"/>
      <c r="L21" s="97"/>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47</v>
      </c>
      <c r="M22" s="97"/>
      <c r="N22" s="97"/>
      <c r="O22" s="97"/>
      <c r="P22" s="97"/>
      <c r="Q22" s="98"/>
      <c r="R22" s="97"/>
      <c r="S22" s="1"/>
    </row>
    <row r="23" ht="18.75" customHeight="1" spans="1:19" x14ac:dyDescent="0.25">
      <c r="A23" s="109"/>
      <c r="B23" s="110" t="s">
        <v>55</v>
      </c>
      <c r="C23" s="111"/>
      <c r="D23" s="112">
        <f>Q10</f>
        <v>0.6734250543084721</v>
      </c>
      <c r="E23" s="112">
        <f>Q11</f>
        <v>0.1346850108616944</v>
      </c>
      <c r="F23" s="112">
        <f>Q12</f>
        <v>0.07758353160235854</v>
      </c>
      <c r="G23" s="113">
        <f>Q13</f>
        <v>0.056118754525706006</v>
      </c>
      <c r="H23" s="114"/>
      <c r="I23" s="113">
        <f>Q14</f>
        <v>0.05818764870176891</v>
      </c>
      <c r="J23" s="115"/>
      <c r="L23" s="97" t="s">
        <v>49</v>
      </c>
      <c r="M23" s="97"/>
      <c r="N23" s="97"/>
      <c r="O23" s="97"/>
      <c r="P23" s="97"/>
      <c r="Q23" s="97"/>
      <c r="R23" s="97"/>
      <c r="S23" s="1"/>
    </row>
    <row r="24" ht="18.75" customHeight="1" spans="1:19" x14ac:dyDescent="0.25">
      <c r="A24" s="116"/>
      <c r="B24" s="117" t="s">
        <v>56</v>
      </c>
      <c r="C24" s="118">
        <f>G11</f>
        <v>9159.999999999998</v>
      </c>
      <c r="D24" s="119">
        <f>G18*$D$23</f>
        <v>73279.99999999999</v>
      </c>
      <c r="E24" s="119">
        <f>G18*$E$23</f>
        <v>14655.999999999996</v>
      </c>
      <c r="F24" s="119">
        <f>G18*$F$23</f>
        <v>8442.396313364054</v>
      </c>
      <c r="G24" s="120">
        <f>G18*$G$23</f>
        <v>6106.666666666665</v>
      </c>
      <c r="H24" s="121"/>
      <c r="I24" s="122">
        <f>G18*$I$23</f>
        <v>6331.797235023041</v>
      </c>
      <c r="J24" s="123"/>
      <c r="L24" s="97" t="s">
        <v>54</v>
      </c>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73279.99999999999</v>
      </c>
      <c r="M27" s="133">
        <f>E24*5</f>
        <v>73279.99999999999</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110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111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112</v>
      </c>
      <c r="C45" s="160"/>
      <c r="D45" s="160"/>
      <c r="E45" s="160"/>
      <c r="F45" s="160"/>
      <c r="G45" s="160"/>
      <c r="H45" s="160"/>
      <c r="I45" s="160"/>
      <c r="J45" s="161"/>
      <c r="S45" s="1"/>
    </row>
    <row r="46" ht="19.5" customHeight="1" spans="1:19" x14ac:dyDescent="0.25">
      <c r="A46" s="162" t="s">
        <v>113</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2" t="s">
        <v>114</v>
      </c>
      <c r="H48" s="172"/>
      <c r="I48" s="172"/>
      <c r="J48" s="173"/>
      <c r="S48" s="6"/>
    </row>
    <row r="49" ht="23.25" customHeight="1" spans="1:19" x14ac:dyDescent="0.25">
      <c r="A49" s="174" t="s">
        <v>85</v>
      </c>
      <c r="B49" s="175"/>
      <c r="C49" s="176" t="s">
        <v>86</v>
      </c>
      <c r="D49" s="176"/>
      <c r="E49" s="176"/>
      <c r="F49" s="177" t="s">
        <v>87</v>
      </c>
      <c r="G49" s="200"/>
      <c r="H49" s="200"/>
      <c r="I49" s="200"/>
      <c r="J49" s="201"/>
      <c r="S49" s="6"/>
    </row>
    <row r="50" ht="23.25" customHeight="1" spans="1:19" x14ac:dyDescent="0.25">
      <c r="A50" s="174" t="s">
        <v>88</v>
      </c>
      <c r="B50" s="175"/>
      <c r="C50" s="175"/>
      <c r="D50" s="175"/>
      <c r="E50" s="175"/>
      <c r="F50" s="183" t="s">
        <v>90</v>
      </c>
      <c r="G50" s="200"/>
      <c r="H50" s="200"/>
      <c r="I50" s="200"/>
      <c r="J50" s="201"/>
      <c r="S50" s="6"/>
    </row>
    <row r="51" ht="23.25" customHeight="1" spans="1:19" x14ac:dyDescent="0.25">
      <c r="A51" s="184" t="s">
        <v>91</v>
      </c>
      <c r="B51" s="185"/>
      <c r="C51" s="198" t="s">
        <v>75</v>
      </c>
      <c r="D51" s="198"/>
      <c r="E51" s="198"/>
      <c r="F51" s="189" t="s">
        <v>93</v>
      </c>
      <c r="G51" s="202"/>
      <c r="H51" s="202"/>
      <c r="I51" s="202"/>
      <c r="J51" s="203"/>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5" fitToWidth="1" fitToHeight="1" firstPageNumber="1" useFirstPageNumber="1" copies="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N48" sqref="N48"/>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92"/>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t="s">
        <v>3</v>
      </c>
      <c r="I7" s="39"/>
      <c r="J7" s="41"/>
      <c r="L7" s="42"/>
      <c r="M7" s="42"/>
      <c r="N7" s="42"/>
      <c r="O7" s="42"/>
      <c r="P7" s="42"/>
      <c r="S7" s="6"/>
    </row>
    <row r="8" ht="18" customHeight="1" spans="1:19" x14ac:dyDescent="0.25">
      <c r="A8" s="43" t="s">
        <v>16</v>
      </c>
      <c r="B8" s="44" t="s">
        <v>94</v>
      </c>
      <c r="C8" s="45"/>
      <c r="D8" s="46" t="s">
        <v>95</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0.7300661657508131</v>
      </c>
      <c r="S10" s="6"/>
    </row>
    <row r="11" ht="19.5" customHeight="1" spans="1:19" x14ac:dyDescent="0.25">
      <c r="A11" s="43" t="s">
        <v>29</v>
      </c>
      <c r="B11" s="66" t="s">
        <v>30</v>
      </c>
      <c r="C11" s="67"/>
      <c r="D11" s="67"/>
      <c r="E11" s="68">
        <f>D24</f>
        <v>146013.23315016262</v>
      </c>
      <c r="F11" s="69" t="s">
        <v>31</v>
      </c>
      <c r="G11" s="70">
        <f>E11/8</f>
        <v>18251.654143770327</v>
      </c>
      <c r="H11" s="71" t="s">
        <v>32</v>
      </c>
      <c r="I11" s="71"/>
      <c r="J11" s="72"/>
      <c r="L11" s="60" t="s">
        <v>33</v>
      </c>
      <c r="M11" s="61">
        <v>9.6</v>
      </c>
      <c r="N11" s="62">
        <v>1</v>
      </c>
      <c r="O11" s="63">
        <v>4.34</v>
      </c>
      <c r="P11" s="64">
        <f>M11*O11</f>
        <v>41.663999999999994</v>
      </c>
      <c r="Q11" s="65">
        <f>P11/P15</f>
        <v>0.1460132331501626</v>
      </c>
      <c r="S11" s="6"/>
    </row>
    <row r="12" ht="17.25" customHeight="1" spans="1:19" x14ac:dyDescent="0.25">
      <c r="A12" s="50"/>
      <c r="B12" s="73" t="s">
        <v>34</v>
      </c>
      <c r="C12" s="74"/>
      <c r="D12" s="74"/>
      <c r="E12" s="74"/>
      <c r="F12" s="74"/>
      <c r="G12" s="74"/>
      <c r="H12" s="74"/>
      <c r="I12" s="74"/>
      <c r="J12" s="75"/>
      <c r="L12" s="60" t="s">
        <v>35</v>
      </c>
      <c r="M12" s="61">
        <v>12</v>
      </c>
      <c r="N12" s="62">
        <v>1</v>
      </c>
      <c r="O12" s="63">
        <v>0</v>
      </c>
      <c r="P12" s="64">
        <f>M12*N12*O12</f>
        <v>0</v>
      </c>
      <c r="Q12" s="65">
        <f>P12/P15</f>
        <v>0</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0.060838847145901084</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0.06308175395312325</v>
      </c>
      <c r="S14" s="6"/>
    </row>
    <row r="15" ht="13.5" customHeight="1" spans="1:19" x14ac:dyDescent="0.25">
      <c r="A15" s="50"/>
      <c r="B15" s="51" t="s">
        <v>38</v>
      </c>
      <c r="C15" s="52"/>
      <c r="D15" s="52"/>
      <c r="E15" s="52"/>
      <c r="F15" s="52"/>
      <c r="G15" s="52"/>
      <c r="H15" s="52"/>
      <c r="I15" s="52"/>
      <c r="J15" s="53"/>
      <c r="L15" s="81" t="s">
        <v>39</v>
      </c>
      <c r="M15" s="82"/>
      <c r="N15" s="82"/>
      <c r="O15" s="82">
        <v>0</v>
      </c>
      <c r="P15" s="83">
        <f>SUM(P10:P14)</f>
        <v>285.344</v>
      </c>
      <c r="Q15" s="84">
        <f>SUM(Q10:Q14)</f>
        <v>0.9999999999999999</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96</v>
      </c>
      <c r="C18" s="90"/>
      <c r="D18" s="90"/>
      <c r="E18" s="90"/>
      <c r="F18" s="90"/>
      <c r="G18" s="91">
        <v>200000</v>
      </c>
      <c r="H18" s="92" t="s">
        <v>43</v>
      </c>
      <c r="I18" s="92"/>
      <c r="J18" s="93"/>
      <c r="L18" s="21"/>
      <c r="M18" s="85"/>
      <c r="P18" s="59"/>
      <c r="S18" s="6"/>
    </row>
    <row r="19" ht="15.75" customHeight="1" spans="1:19" x14ac:dyDescent="0.25">
      <c r="A19" s="50"/>
      <c r="B19" s="94" t="s">
        <v>97</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193" t="s">
        <v>98</v>
      </c>
      <c r="C21" s="194"/>
      <c r="D21" s="194"/>
      <c r="E21" s="194"/>
      <c r="F21" s="194"/>
      <c r="G21" s="194"/>
      <c r="H21" s="194"/>
      <c r="I21" s="194"/>
      <c r="J21" s="195"/>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0.7300661657508131</v>
      </c>
      <c r="E23" s="112">
        <f>Q11</f>
        <v>0.1460132331501626</v>
      </c>
      <c r="F23" s="112">
        <f>Q12</f>
        <v>0</v>
      </c>
      <c r="G23" s="113">
        <f>Q13</f>
        <v>0.060838847145901084</v>
      </c>
      <c r="H23" s="114"/>
      <c r="I23" s="113">
        <f>Q14</f>
        <v>0.06308175395312325</v>
      </c>
      <c r="J23" s="115"/>
      <c r="L23" s="97"/>
      <c r="M23" s="97"/>
      <c r="N23" s="97"/>
      <c r="O23" s="97"/>
      <c r="P23" s="97"/>
      <c r="Q23" s="97"/>
      <c r="R23" s="97"/>
      <c r="S23" s="1"/>
    </row>
    <row r="24" ht="18.75" customHeight="1" spans="1:19" x14ac:dyDescent="0.25">
      <c r="A24" s="116"/>
      <c r="B24" s="117" t="s">
        <v>56</v>
      </c>
      <c r="C24" s="118">
        <f>G11</f>
        <v>18251.654143770327</v>
      </c>
      <c r="D24" s="119">
        <f>G18*$D$23</f>
        <v>146013.23315016262</v>
      </c>
      <c r="E24" s="119">
        <f>G18*$E$23</f>
        <v>29202.64663003252</v>
      </c>
      <c r="F24" s="119">
        <f>G18*$F$23</f>
        <v>0</v>
      </c>
      <c r="G24" s="120">
        <f>G18*$G$23</f>
        <v>12167.769429180216</v>
      </c>
      <c r="H24" s="121"/>
      <c r="I24" s="122">
        <f>G18*$I$23</f>
        <v>12616.35079062465</v>
      </c>
      <c r="J24" s="123"/>
      <c r="L24" s="97"/>
      <c r="M24" s="97"/>
      <c r="N24" s="97"/>
      <c r="O24" s="97"/>
      <c r="P24" s="97"/>
      <c r="Q24" s="97"/>
      <c r="R24" s="97"/>
      <c r="S24" s="1"/>
    </row>
    <row r="25" ht="54.75" customHeight="1" spans="1:19" x14ac:dyDescent="0.25">
      <c r="A25" s="102" t="s">
        <v>57</v>
      </c>
      <c r="B25" s="130" t="s">
        <v>99</v>
      </c>
      <c r="C25" s="131"/>
      <c r="D25" s="131"/>
      <c r="E25" s="131"/>
      <c r="F25" s="131"/>
      <c r="G25" s="131"/>
      <c r="H25" s="131"/>
      <c r="I25" s="131"/>
      <c r="J25" s="132"/>
      <c r="L25" s="97" t="s">
        <v>3</v>
      </c>
      <c r="M25" s="97"/>
      <c r="N25" s="97"/>
      <c r="O25" s="97"/>
      <c r="P25" s="97"/>
      <c r="Q25" s="98"/>
      <c r="S25" s="1"/>
    </row>
    <row r="26" ht="66.75" customHeight="1" spans="1:19" x14ac:dyDescent="0.25">
      <c r="A26" s="50"/>
      <c r="B26" s="51"/>
      <c r="C26" s="52"/>
      <c r="D26" s="52"/>
      <c r="E26" s="52"/>
      <c r="F26" s="52"/>
      <c r="G26" s="52"/>
      <c r="H26" s="52"/>
      <c r="I26" s="52"/>
      <c r="J26" s="53"/>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146013.23315016262</v>
      </c>
      <c r="M27" s="133">
        <f>E24*5</f>
        <v>146013.2331501626</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100</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155" t="s">
        <v>69</v>
      </c>
      <c r="C41" s="156"/>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96"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101</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102</v>
      </c>
      <c r="C45" s="160"/>
      <c r="D45" s="160"/>
      <c r="E45" s="160"/>
      <c r="F45" s="160"/>
      <c r="G45" s="160"/>
      <c r="H45" s="160"/>
      <c r="I45" s="160"/>
      <c r="J45" s="161"/>
      <c r="S45" s="1"/>
    </row>
    <row r="46" ht="19.5" customHeight="1" spans="1:19" x14ac:dyDescent="0.25">
      <c r="A46" s="162" t="s">
        <v>103</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2" t="s">
        <v>104</v>
      </c>
      <c r="H48" s="172"/>
      <c r="I48" s="172"/>
      <c r="J48" s="173"/>
      <c r="S48" s="6"/>
    </row>
    <row r="49" ht="23.25" customHeight="1" spans="1:19" x14ac:dyDescent="0.25">
      <c r="A49" s="174" t="s">
        <v>85</v>
      </c>
      <c r="B49" s="175"/>
      <c r="C49" s="176" t="s">
        <v>86</v>
      </c>
      <c r="D49" s="176"/>
      <c r="E49" s="176"/>
      <c r="F49" s="177" t="s">
        <v>87</v>
      </c>
      <c r="G49" s="175"/>
      <c r="H49" s="175"/>
      <c r="I49" s="175"/>
      <c r="J49" s="197"/>
      <c r="S49" s="6"/>
    </row>
    <row r="50" ht="23.25" customHeight="1" spans="1:19" x14ac:dyDescent="0.25">
      <c r="A50" s="174" t="s">
        <v>88</v>
      </c>
      <c r="B50" s="175"/>
      <c r="C50" s="175"/>
      <c r="D50" s="175"/>
      <c r="E50" s="175"/>
      <c r="F50" s="183" t="s">
        <v>90</v>
      </c>
      <c r="G50" s="175"/>
      <c r="H50" s="175"/>
      <c r="I50" s="175"/>
      <c r="J50" s="197"/>
      <c r="S50" s="6"/>
    </row>
    <row r="51" ht="23.25" customHeight="1" spans="1:19" x14ac:dyDescent="0.25">
      <c r="A51" s="184" t="s">
        <v>91</v>
      </c>
      <c r="B51" s="185"/>
      <c r="C51" s="198" t="s">
        <v>75</v>
      </c>
      <c r="D51" s="198"/>
      <c r="E51" s="198"/>
      <c r="F51" s="189" t="s">
        <v>93</v>
      </c>
      <c r="G51" s="185"/>
      <c r="H51" s="185"/>
      <c r="I51" s="185"/>
      <c r="J51" s="199"/>
      <c r="S51" s="6"/>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B41:C41"/>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 right="0.7" top="0.75" bottom="0.75" header="0.3" footer="0.3"/>
  <pageSetup paperSize="9" orientation="portrait" horizontalDpi="4294967295" verticalDpi="4294967295" scale="65"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1"/>
  <sheetViews>
    <sheetView workbookViewId="0" zoomScale="100" zoomScaleNormal="100" view="pageBreakPreview">
      <selection activeCell="O55" sqref="O55"/>
    </sheetView>
  </sheetViews>
  <sheetFormatPr defaultRowHeight="16.5" outlineLevelRow="0" outlineLevelCol="0" x14ac:dyDescent="0" customHeight="1"/>
  <cols>
    <col min="1" max="1" width="10.25" style="1" customWidth="1"/>
    <col min="2" max="2" width="12.5" style="1" customWidth="1"/>
    <col min="3" max="3" width="12.25" style="1" customWidth="1"/>
    <col min="4" max="4" width="11.875" style="1" customWidth="1"/>
    <col min="5" max="5" width="12.25" style="1" customWidth="1"/>
    <col min="6" max="6" width="11" style="1" customWidth="1"/>
    <col min="7" max="7" width="15.625" style="1" customWidth="1"/>
    <col min="8" max="8" width="9" style="1" customWidth="1"/>
    <col min="9" max="9" width="12.25" style="1" customWidth="1"/>
    <col min="10" max="10" width="11.875" style="1" customWidth="1"/>
    <col min="11" max="11" width="5.5" style="1" customWidth="1"/>
    <col min="12" max="16" width="11.625" style="1" customWidth="1"/>
    <col min="17" max="17" width="14.25" style="1" customWidth="1"/>
    <col min="18" max="18" width="10" style="1" customWidth="1"/>
    <col min="19" max="19" width="13" style="2" customWidth="1"/>
    <col min="20" max="258" width="9" style="1" customWidth="1"/>
    <col min="259" max="259" width="12.25" style="1" customWidth="1"/>
    <col min="260" max="260" width="11.875" style="1" customWidth="1"/>
    <col min="261" max="261" width="12.25" style="1" customWidth="1"/>
    <col min="262" max="262" width="11" style="1" customWidth="1"/>
    <col min="263" max="263" width="15.625" style="1" customWidth="1"/>
    <col min="264" max="264" width="9" style="1" customWidth="1"/>
    <col min="265" max="265" width="12.25" style="1" customWidth="1"/>
    <col min="266" max="266" width="9" style="1" customWidth="1"/>
    <col min="267" max="267" width="5.5" style="1" customWidth="1"/>
    <col min="268" max="272" width="11.625" style="1" customWidth="1"/>
    <col min="273" max="273" width="14.25" style="1" customWidth="1"/>
    <col min="274" max="274" width="10" style="1" customWidth="1"/>
    <col min="275" max="275" width="13" style="1" customWidth="1"/>
    <col min="276" max="514" width="9" style="1" customWidth="1"/>
    <col min="515" max="515" width="12.25" style="1" customWidth="1"/>
    <col min="516" max="516" width="11.875" style="1" customWidth="1"/>
    <col min="517" max="517" width="12.25" style="1" customWidth="1"/>
    <col min="518" max="518" width="11" style="1" customWidth="1"/>
    <col min="519" max="519" width="15.625" style="1" customWidth="1"/>
    <col min="520" max="520" width="9" style="1" customWidth="1"/>
    <col min="521" max="521" width="12.25" style="1" customWidth="1"/>
    <col min="522" max="522" width="9" style="1" customWidth="1"/>
    <col min="523" max="523" width="5.5" style="1" customWidth="1"/>
    <col min="524" max="528" width="11.625" style="1" customWidth="1"/>
    <col min="529" max="529" width="14.25" style="1" customWidth="1"/>
    <col min="530" max="530" width="10" style="1" customWidth="1"/>
    <col min="531" max="531" width="13" style="1" customWidth="1"/>
    <col min="532" max="770" width="9" style="1" customWidth="1"/>
    <col min="771" max="771" width="12.25" style="1" customWidth="1"/>
    <col min="772" max="772" width="11.875" style="1" customWidth="1"/>
    <col min="773" max="773" width="12.25" style="1" customWidth="1"/>
    <col min="774" max="774" width="11" style="1" customWidth="1"/>
    <col min="775" max="775" width="15.625" style="1" customWidth="1"/>
    <col min="776" max="776" width="9" style="1" customWidth="1"/>
    <col min="777" max="777" width="12.25" style="1" customWidth="1"/>
    <col min="778" max="778" width="9" style="1" customWidth="1"/>
    <col min="779" max="779" width="5.5" style="1" customWidth="1"/>
    <col min="780" max="784" width="11.625" style="1" customWidth="1"/>
    <col min="785" max="785" width="14.25" style="1" customWidth="1"/>
    <col min="786" max="786" width="10" style="1" customWidth="1"/>
    <col min="787" max="787" width="13" style="1" customWidth="1"/>
    <col min="788" max="1026" width="9" style="1" customWidth="1"/>
    <col min="1027" max="1027" width="12.25" style="1" customWidth="1"/>
    <col min="1028" max="1028" width="11.875" style="1" customWidth="1"/>
    <col min="1029" max="1029" width="12.25" style="1" customWidth="1"/>
    <col min="1030" max="1030" width="11" style="1" customWidth="1"/>
    <col min="1031" max="1031" width="15.625" style="1" customWidth="1"/>
    <col min="1032" max="1032" width="9" style="1" customWidth="1"/>
    <col min="1033" max="1033" width="12.25" style="1" customWidth="1"/>
    <col min="1034" max="1034" width="9" style="1" customWidth="1"/>
    <col min="1035" max="1035" width="5.5" style="1" customWidth="1"/>
    <col min="1036" max="1040" width="11.625" style="1" customWidth="1"/>
    <col min="1041" max="1041" width="14.25" style="1" customWidth="1"/>
    <col min="1042" max="1042" width="10" style="1" customWidth="1"/>
    <col min="1043" max="1043" width="13" style="1" customWidth="1"/>
    <col min="1044" max="1282" width="9" style="1" customWidth="1"/>
    <col min="1283" max="1283" width="12.25" style="1" customWidth="1"/>
    <col min="1284" max="1284" width="11.875" style="1" customWidth="1"/>
    <col min="1285" max="1285" width="12.25" style="1" customWidth="1"/>
    <col min="1286" max="1286" width="11" style="1" customWidth="1"/>
    <col min="1287" max="1287" width="15.625" style="1" customWidth="1"/>
    <col min="1288" max="1288" width="9" style="1" customWidth="1"/>
    <col min="1289" max="1289" width="12.25" style="1" customWidth="1"/>
    <col min="1290" max="1290" width="9" style="1" customWidth="1"/>
    <col min="1291" max="1291" width="5.5" style="1" customWidth="1"/>
    <col min="1292" max="1296" width="11.625" style="1" customWidth="1"/>
    <col min="1297" max="1297" width="14.25" style="1" customWidth="1"/>
    <col min="1298" max="1298" width="10" style="1" customWidth="1"/>
    <col min="1299" max="1299" width="13" style="1" customWidth="1"/>
    <col min="1300" max="1538" width="9" style="1" customWidth="1"/>
    <col min="1539" max="1539" width="12.25" style="1" customWidth="1"/>
    <col min="1540" max="1540" width="11.875" style="1" customWidth="1"/>
    <col min="1541" max="1541" width="12.25" style="1" customWidth="1"/>
    <col min="1542" max="1542" width="11" style="1" customWidth="1"/>
    <col min="1543" max="1543" width="15.625" style="1" customWidth="1"/>
    <col min="1544" max="1544" width="9" style="1" customWidth="1"/>
    <col min="1545" max="1545" width="12.25" style="1" customWidth="1"/>
    <col min="1546" max="1546" width="9" style="1" customWidth="1"/>
    <col min="1547" max="1547" width="5.5" style="1" customWidth="1"/>
    <col min="1548" max="1552" width="11.625" style="1" customWidth="1"/>
    <col min="1553" max="1553" width="14.25" style="1" customWidth="1"/>
    <col min="1554" max="1554" width="10" style="1" customWidth="1"/>
    <col min="1555" max="1555" width="13" style="1" customWidth="1"/>
    <col min="1556" max="1794" width="9" style="1" customWidth="1"/>
    <col min="1795" max="1795" width="12.25" style="1" customWidth="1"/>
    <col min="1796" max="1796" width="11.875" style="1" customWidth="1"/>
    <col min="1797" max="1797" width="12.25" style="1" customWidth="1"/>
    <col min="1798" max="1798" width="11" style="1" customWidth="1"/>
    <col min="1799" max="1799" width="15.625" style="1" customWidth="1"/>
    <col min="1800" max="1800" width="9" style="1" customWidth="1"/>
    <col min="1801" max="1801" width="12.25" style="1" customWidth="1"/>
    <col min="1802" max="1802" width="9" style="1" customWidth="1"/>
    <col min="1803" max="1803" width="5.5" style="1" customWidth="1"/>
    <col min="1804" max="1808" width="11.625" style="1" customWidth="1"/>
    <col min="1809" max="1809" width="14.25" style="1" customWidth="1"/>
    <col min="1810" max="1810" width="10" style="1" customWidth="1"/>
    <col min="1811" max="1811" width="13" style="1" customWidth="1"/>
    <col min="1812" max="2050" width="9" style="1" customWidth="1"/>
    <col min="2051" max="2051" width="12.25" style="1" customWidth="1"/>
    <col min="2052" max="2052" width="11.875" style="1" customWidth="1"/>
    <col min="2053" max="2053" width="12.25" style="1" customWidth="1"/>
    <col min="2054" max="2054" width="11" style="1" customWidth="1"/>
    <col min="2055" max="2055" width="15.625" style="1" customWidth="1"/>
    <col min="2056" max="2056" width="9" style="1" customWidth="1"/>
    <col min="2057" max="2057" width="12.25" style="1" customWidth="1"/>
    <col min="2058" max="2058" width="9" style="1" customWidth="1"/>
    <col min="2059" max="2059" width="5.5" style="1" customWidth="1"/>
    <col min="2060" max="2064" width="11.625" style="1" customWidth="1"/>
    <col min="2065" max="2065" width="14.25" style="1" customWidth="1"/>
    <col min="2066" max="2066" width="10" style="1" customWidth="1"/>
    <col min="2067" max="2067" width="13" style="1" customWidth="1"/>
    <col min="2068" max="2306" width="9" style="1" customWidth="1"/>
    <col min="2307" max="2307" width="12.25" style="1" customWidth="1"/>
    <col min="2308" max="2308" width="11.875" style="1" customWidth="1"/>
    <col min="2309" max="2309" width="12.25" style="1" customWidth="1"/>
    <col min="2310" max="2310" width="11" style="1" customWidth="1"/>
    <col min="2311" max="2311" width="15.625" style="1" customWidth="1"/>
    <col min="2312" max="2312" width="9" style="1" customWidth="1"/>
    <col min="2313" max="2313" width="12.25" style="1" customWidth="1"/>
    <col min="2314" max="2314" width="9" style="1" customWidth="1"/>
    <col min="2315" max="2315" width="5.5" style="1" customWidth="1"/>
    <col min="2316" max="2320" width="11.625" style="1" customWidth="1"/>
    <col min="2321" max="2321" width="14.25" style="1" customWidth="1"/>
    <col min="2322" max="2322" width="10" style="1" customWidth="1"/>
    <col min="2323" max="2323" width="13" style="1" customWidth="1"/>
    <col min="2324" max="2562" width="9" style="1" customWidth="1"/>
    <col min="2563" max="2563" width="12.25" style="1" customWidth="1"/>
    <col min="2564" max="2564" width="11.875" style="1" customWidth="1"/>
    <col min="2565" max="2565" width="12.25" style="1" customWidth="1"/>
    <col min="2566" max="2566" width="11" style="1" customWidth="1"/>
    <col min="2567" max="2567" width="15.625" style="1" customWidth="1"/>
    <col min="2568" max="2568" width="9" style="1" customWidth="1"/>
    <col min="2569" max="2569" width="12.25" style="1" customWidth="1"/>
    <col min="2570" max="2570" width="9" style="1" customWidth="1"/>
    <col min="2571" max="2571" width="5.5" style="1" customWidth="1"/>
    <col min="2572" max="2576" width="11.625" style="1" customWidth="1"/>
    <col min="2577" max="2577" width="14.25" style="1" customWidth="1"/>
    <col min="2578" max="2578" width="10" style="1" customWidth="1"/>
    <col min="2579" max="2579" width="13" style="1" customWidth="1"/>
    <col min="2580" max="2818" width="9" style="1" customWidth="1"/>
    <col min="2819" max="2819" width="12.25" style="1" customWidth="1"/>
    <col min="2820" max="2820" width="11.875" style="1" customWidth="1"/>
    <col min="2821" max="2821" width="12.25" style="1" customWidth="1"/>
    <col min="2822" max="2822" width="11" style="1" customWidth="1"/>
    <col min="2823" max="2823" width="15.625" style="1" customWidth="1"/>
    <col min="2824" max="2824" width="9" style="1" customWidth="1"/>
    <col min="2825" max="2825" width="12.25" style="1" customWidth="1"/>
    <col min="2826" max="2826" width="9" style="1" customWidth="1"/>
    <col min="2827" max="2827" width="5.5" style="1" customWidth="1"/>
    <col min="2828" max="2832" width="11.625" style="1" customWidth="1"/>
    <col min="2833" max="2833" width="14.25" style="1" customWidth="1"/>
    <col min="2834" max="2834" width="10" style="1" customWidth="1"/>
    <col min="2835" max="2835" width="13" style="1" customWidth="1"/>
    <col min="2836" max="3074" width="9" style="1" customWidth="1"/>
    <col min="3075" max="3075" width="12.25" style="1" customWidth="1"/>
    <col min="3076" max="3076" width="11.875" style="1" customWidth="1"/>
    <col min="3077" max="3077" width="12.25" style="1" customWidth="1"/>
    <col min="3078" max="3078" width="11" style="1" customWidth="1"/>
    <col min="3079" max="3079" width="15.625" style="1" customWidth="1"/>
    <col min="3080" max="3080" width="9" style="1" customWidth="1"/>
    <col min="3081" max="3081" width="12.25" style="1" customWidth="1"/>
    <col min="3082" max="3082" width="9" style="1" customWidth="1"/>
    <col min="3083" max="3083" width="5.5" style="1" customWidth="1"/>
    <col min="3084" max="3088" width="11.625" style="1" customWidth="1"/>
    <col min="3089" max="3089" width="14.25" style="1" customWidth="1"/>
    <col min="3090" max="3090" width="10" style="1" customWidth="1"/>
    <col min="3091" max="3091" width="13" style="1" customWidth="1"/>
    <col min="3092" max="3330" width="9" style="1" customWidth="1"/>
    <col min="3331" max="3331" width="12.25" style="1" customWidth="1"/>
    <col min="3332" max="3332" width="11.875" style="1" customWidth="1"/>
    <col min="3333" max="3333" width="12.25" style="1" customWidth="1"/>
    <col min="3334" max="3334" width="11" style="1" customWidth="1"/>
    <col min="3335" max="3335" width="15.625" style="1" customWidth="1"/>
    <col min="3336" max="3336" width="9" style="1" customWidth="1"/>
    <col min="3337" max="3337" width="12.25" style="1" customWidth="1"/>
    <col min="3338" max="3338" width="9" style="1" customWidth="1"/>
    <col min="3339" max="3339" width="5.5" style="1" customWidth="1"/>
    <col min="3340" max="3344" width="11.625" style="1" customWidth="1"/>
    <col min="3345" max="3345" width="14.25" style="1" customWidth="1"/>
    <col min="3346" max="3346" width="10" style="1" customWidth="1"/>
    <col min="3347" max="3347" width="13" style="1" customWidth="1"/>
    <col min="3348" max="3586" width="9" style="1" customWidth="1"/>
    <col min="3587" max="3587" width="12.25" style="1" customWidth="1"/>
    <col min="3588" max="3588" width="11.875" style="1" customWidth="1"/>
    <col min="3589" max="3589" width="12.25" style="1" customWidth="1"/>
    <col min="3590" max="3590" width="11" style="1" customWidth="1"/>
    <col min="3591" max="3591" width="15.625" style="1" customWidth="1"/>
    <col min="3592" max="3592" width="9" style="1" customWidth="1"/>
    <col min="3593" max="3593" width="12.25" style="1" customWidth="1"/>
    <col min="3594" max="3594" width="9" style="1" customWidth="1"/>
    <col min="3595" max="3595" width="5.5" style="1" customWidth="1"/>
    <col min="3596" max="3600" width="11.625" style="1" customWidth="1"/>
    <col min="3601" max="3601" width="14.25" style="1" customWidth="1"/>
    <col min="3602" max="3602" width="10" style="1" customWidth="1"/>
    <col min="3603" max="3603" width="13" style="1" customWidth="1"/>
    <col min="3604" max="3842" width="9" style="1" customWidth="1"/>
    <col min="3843" max="3843" width="12.25" style="1" customWidth="1"/>
    <col min="3844" max="3844" width="11.875" style="1" customWidth="1"/>
    <col min="3845" max="3845" width="12.25" style="1" customWidth="1"/>
    <col min="3846" max="3846" width="11" style="1" customWidth="1"/>
    <col min="3847" max="3847" width="15.625" style="1" customWidth="1"/>
    <col min="3848" max="3848" width="9" style="1" customWidth="1"/>
    <col min="3849" max="3849" width="12.25" style="1" customWidth="1"/>
    <col min="3850" max="3850" width="9" style="1" customWidth="1"/>
    <col min="3851" max="3851" width="5.5" style="1" customWidth="1"/>
    <col min="3852" max="3856" width="11.625" style="1" customWidth="1"/>
    <col min="3857" max="3857" width="14.25" style="1" customWidth="1"/>
    <col min="3858" max="3858" width="10" style="1" customWidth="1"/>
    <col min="3859" max="3859" width="13" style="1" customWidth="1"/>
    <col min="3860" max="4098" width="9" style="1" customWidth="1"/>
    <col min="4099" max="4099" width="12.25" style="1" customWidth="1"/>
    <col min="4100" max="4100" width="11.875" style="1" customWidth="1"/>
    <col min="4101" max="4101" width="12.25" style="1" customWidth="1"/>
    <col min="4102" max="4102" width="11" style="1" customWidth="1"/>
    <col min="4103" max="4103" width="15.625" style="1" customWidth="1"/>
    <col min="4104" max="4104" width="9" style="1" customWidth="1"/>
    <col min="4105" max="4105" width="12.25" style="1" customWidth="1"/>
    <col min="4106" max="4106" width="9" style="1" customWidth="1"/>
    <col min="4107" max="4107" width="5.5" style="1" customWidth="1"/>
    <col min="4108" max="4112" width="11.625" style="1" customWidth="1"/>
    <col min="4113" max="4113" width="14.25" style="1" customWidth="1"/>
    <col min="4114" max="4114" width="10" style="1" customWidth="1"/>
    <col min="4115" max="4115" width="13" style="1" customWidth="1"/>
    <col min="4116" max="4354" width="9" style="1" customWidth="1"/>
    <col min="4355" max="4355" width="12.25" style="1" customWidth="1"/>
    <col min="4356" max="4356" width="11.875" style="1" customWidth="1"/>
    <col min="4357" max="4357" width="12.25" style="1" customWidth="1"/>
    <col min="4358" max="4358" width="11" style="1" customWidth="1"/>
    <col min="4359" max="4359" width="15.625" style="1" customWidth="1"/>
    <col min="4360" max="4360" width="9" style="1" customWidth="1"/>
    <col min="4361" max="4361" width="12.25" style="1" customWidth="1"/>
    <col min="4362" max="4362" width="9" style="1" customWidth="1"/>
    <col min="4363" max="4363" width="5.5" style="1" customWidth="1"/>
    <col min="4364" max="4368" width="11.625" style="1" customWidth="1"/>
    <col min="4369" max="4369" width="14.25" style="1" customWidth="1"/>
    <col min="4370" max="4370" width="10" style="1" customWidth="1"/>
    <col min="4371" max="4371" width="13" style="1" customWidth="1"/>
    <col min="4372" max="4610" width="9" style="1" customWidth="1"/>
    <col min="4611" max="4611" width="12.25" style="1" customWidth="1"/>
    <col min="4612" max="4612" width="11.875" style="1" customWidth="1"/>
    <col min="4613" max="4613" width="12.25" style="1" customWidth="1"/>
    <col min="4614" max="4614" width="11" style="1" customWidth="1"/>
    <col min="4615" max="4615" width="15.625" style="1" customWidth="1"/>
    <col min="4616" max="4616" width="9" style="1" customWidth="1"/>
    <col min="4617" max="4617" width="12.25" style="1" customWidth="1"/>
    <col min="4618" max="4618" width="9" style="1" customWidth="1"/>
    <col min="4619" max="4619" width="5.5" style="1" customWidth="1"/>
    <col min="4620" max="4624" width="11.625" style="1" customWidth="1"/>
    <col min="4625" max="4625" width="14.25" style="1" customWidth="1"/>
    <col min="4626" max="4626" width="10" style="1" customWidth="1"/>
    <col min="4627" max="4627" width="13" style="1" customWidth="1"/>
    <col min="4628" max="4866" width="9" style="1" customWidth="1"/>
    <col min="4867" max="4867" width="12.25" style="1" customWidth="1"/>
    <col min="4868" max="4868" width="11.875" style="1" customWidth="1"/>
    <col min="4869" max="4869" width="12.25" style="1" customWidth="1"/>
    <col min="4870" max="4870" width="11" style="1" customWidth="1"/>
    <col min="4871" max="4871" width="15.625" style="1" customWidth="1"/>
    <col min="4872" max="4872" width="9" style="1" customWidth="1"/>
    <col min="4873" max="4873" width="12.25" style="1" customWidth="1"/>
    <col min="4874" max="4874" width="9" style="1" customWidth="1"/>
    <col min="4875" max="4875" width="5.5" style="1" customWidth="1"/>
    <col min="4876" max="4880" width="11.625" style="1" customWidth="1"/>
    <col min="4881" max="4881" width="14.25" style="1" customWidth="1"/>
    <col min="4882" max="4882" width="10" style="1" customWidth="1"/>
    <col min="4883" max="4883" width="13" style="1" customWidth="1"/>
    <col min="4884" max="5122" width="9" style="1" customWidth="1"/>
    <col min="5123" max="5123" width="12.25" style="1" customWidth="1"/>
    <col min="5124" max="5124" width="11.875" style="1" customWidth="1"/>
    <col min="5125" max="5125" width="12.25" style="1" customWidth="1"/>
    <col min="5126" max="5126" width="11" style="1" customWidth="1"/>
    <col min="5127" max="5127" width="15.625" style="1" customWidth="1"/>
    <col min="5128" max="5128" width="9" style="1" customWidth="1"/>
    <col min="5129" max="5129" width="12.25" style="1" customWidth="1"/>
    <col min="5130" max="5130" width="9" style="1" customWidth="1"/>
    <col min="5131" max="5131" width="5.5" style="1" customWidth="1"/>
    <col min="5132" max="5136" width="11.625" style="1" customWidth="1"/>
    <col min="5137" max="5137" width="14.25" style="1" customWidth="1"/>
    <col min="5138" max="5138" width="10" style="1" customWidth="1"/>
    <col min="5139" max="5139" width="13" style="1" customWidth="1"/>
    <col min="5140" max="5378" width="9" style="1" customWidth="1"/>
    <col min="5379" max="5379" width="12.25" style="1" customWidth="1"/>
    <col min="5380" max="5380" width="11.875" style="1" customWidth="1"/>
    <col min="5381" max="5381" width="12.25" style="1" customWidth="1"/>
    <col min="5382" max="5382" width="11" style="1" customWidth="1"/>
    <col min="5383" max="5383" width="15.625" style="1" customWidth="1"/>
    <col min="5384" max="5384" width="9" style="1" customWidth="1"/>
    <col min="5385" max="5385" width="12.25" style="1" customWidth="1"/>
    <col min="5386" max="5386" width="9" style="1" customWidth="1"/>
    <col min="5387" max="5387" width="5.5" style="1" customWidth="1"/>
    <col min="5388" max="5392" width="11.625" style="1" customWidth="1"/>
    <col min="5393" max="5393" width="14.25" style="1" customWidth="1"/>
    <col min="5394" max="5394" width="10" style="1" customWidth="1"/>
    <col min="5395" max="5395" width="13" style="1" customWidth="1"/>
    <col min="5396" max="5634" width="9" style="1" customWidth="1"/>
    <col min="5635" max="5635" width="12.25" style="1" customWidth="1"/>
    <col min="5636" max="5636" width="11.875" style="1" customWidth="1"/>
    <col min="5637" max="5637" width="12.25" style="1" customWidth="1"/>
    <col min="5638" max="5638" width="11" style="1" customWidth="1"/>
    <col min="5639" max="5639" width="15.625" style="1" customWidth="1"/>
    <col min="5640" max="5640" width="9" style="1" customWidth="1"/>
    <col min="5641" max="5641" width="12.25" style="1" customWidth="1"/>
    <col min="5642" max="5642" width="9" style="1" customWidth="1"/>
    <col min="5643" max="5643" width="5.5" style="1" customWidth="1"/>
    <col min="5644" max="5648" width="11.625" style="1" customWidth="1"/>
    <col min="5649" max="5649" width="14.25" style="1" customWidth="1"/>
    <col min="5650" max="5650" width="10" style="1" customWidth="1"/>
    <col min="5651" max="5651" width="13" style="1" customWidth="1"/>
    <col min="5652" max="5890" width="9" style="1" customWidth="1"/>
    <col min="5891" max="5891" width="12.25" style="1" customWidth="1"/>
    <col min="5892" max="5892" width="11.875" style="1" customWidth="1"/>
    <col min="5893" max="5893" width="12.25" style="1" customWidth="1"/>
    <col min="5894" max="5894" width="11" style="1" customWidth="1"/>
    <col min="5895" max="5895" width="15.625" style="1" customWidth="1"/>
    <col min="5896" max="5896" width="9" style="1" customWidth="1"/>
    <col min="5897" max="5897" width="12.25" style="1" customWidth="1"/>
    <col min="5898" max="5898" width="9" style="1" customWidth="1"/>
    <col min="5899" max="5899" width="5.5" style="1" customWidth="1"/>
    <col min="5900" max="5904" width="11.625" style="1" customWidth="1"/>
    <col min="5905" max="5905" width="14.25" style="1" customWidth="1"/>
    <col min="5906" max="5906" width="10" style="1" customWidth="1"/>
    <col min="5907" max="5907" width="13" style="1" customWidth="1"/>
    <col min="5908" max="6146" width="9" style="1" customWidth="1"/>
    <col min="6147" max="6147" width="12.25" style="1" customWidth="1"/>
    <col min="6148" max="6148" width="11.875" style="1" customWidth="1"/>
    <col min="6149" max="6149" width="12.25" style="1" customWidth="1"/>
    <col min="6150" max="6150" width="11" style="1" customWidth="1"/>
    <col min="6151" max="6151" width="15.625" style="1" customWidth="1"/>
    <col min="6152" max="6152" width="9" style="1" customWidth="1"/>
    <col min="6153" max="6153" width="12.25" style="1" customWidth="1"/>
    <col min="6154" max="6154" width="9" style="1" customWidth="1"/>
    <col min="6155" max="6155" width="5.5" style="1" customWidth="1"/>
    <col min="6156" max="6160" width="11.625" style="1" customWidth="1"/>
    <col min="6161" max="6161" width="14.25" style="1" customWidth="1"/>
    <col min="6162" max="6162" width="10" style="1" customWidth="1"/>
    <col min="6163" max="6163" width="13" style="1" customWidth="1"/>
    <col min="6164" max="6402" width="9" style="1" customWidth="1"/>
    <col min="6403" max="6403" width="12.25" style="1" customWidth="1"/>
    <col min="6404" max="6404" width="11.875" style="1" customWidth="1"/>
    <col min="6405" max="6405" width="12.25" style="1" customWidth="1"/>
    <col min="6406" max="6406" width="11" style="1" customWidth="1"/>
    <col min="6407" max="6407" width="15.625" style="1" customWidth="1"/>
    <col min="6408" max="6408" width="9" style="1" customWidth="1"/>
    <col min="6409" max="6409" width="12.25" style="1" customWidth="1"/>
    <col min="6410" max="6410" width="9" style="1" customWidth="1"/>
    <col min="6411" max="6411" width="5.5" style="1" customWidth="1"/>
    <col min="6412" max="6416" width="11.625" style="1" customWidth="1"/>
    <col min="6417" max="6417" width="14.25" style="1" customWidth="1"/>
    <col min="6418" max="6418" width="10" style="1" customWidth="1"/>
    <col min="6419" max="6419" width="13" style="1" customWidth="1"/>
    <col min="6420" max="6658" width="9" style="1" customWidth="1"/>
    <col min="6659" max="6659" width="12.25" style="1" customWidth="1"/>
    <col min="6660" max="6660" width="11.875" style="1" customWidth="1"/>
    <col min="6661" max="6661" width="12.25" style="1" customWidth="1"/>
    <col min="6662" max="6662" width="11" style="1" customWidth="1"/>
    <col min="6663" max="6663" width="15.625" style="1" customWidth="1"/>
    <col min="6664" max="6664" width="9" style="1" customWidth="1"/>
    <col min="6665" max="6665" width="12.25" style="1" customWidth="1"/>
    <col min="6666" max="6666" width="9" style="1" customWidth="1"/>
    <col min="6667" max="6667" width="5.5" style="1" customWidth="1"/>
    <col min="6668" max="6672" width="11.625" style="1" customWidth="1"/>
    <col min="6673" max="6673" width="14.25" style="1" customWidth="1"/>
    <col min="6674" max="6674" width="10" style="1" customWidth="1"/>
    <col min="6675" max="6675" width="13" style="1" customWidth="1"/>
    <col min="6676" max="6914" width="9" style="1" customWidth="1"/>
    <col min="6915" max="6915" width="12.25" style="1" customWidth="1"/>
    <col min="6916" max="6916" width="11.875" style="1" customWidth="1"/>
    <col min="6917" max="6917" width="12.25" style="1" customWidth="1"/>
    <col min="6918" max="6918" width="11" style="1" customWidth="1"/>
    <col min="6919" max="6919" width="15.625" style="1" customWidth="1"/>
    <col min="6920" max="6920" width="9" style="1" customWidth="1"/>
    <col min="6921" max="6921" width="12.25" style="1" customWidth="1"/>
    <col min="6922" max="6922" width="9" style="1" customWidth="1"/>
    <col min="6923" max="6923" width="5.5" style="1" customWidth="1"/>
    <col min="6924" max="6928" width="11.625" style="1" customWidth="1"/>
    <col min="6929" max="6929" width="14.25" style="1" customWidth="1"/>
    <col min="6930" max="6930" width="10" style="1" customWidth="1"/>
    <col min="6931" max="6931" width="13" style="1" customWidth="1"/>
    <col min="6932" max="7170" width="9" style="1" customWidth="1"/>
    <col min="7171" max="7171" width="12.25" style="1" customWidth="1"/>
    <col min="7172" max="7172" width="11.875" style="1" customWidth="1"/>
    <col min="7173" max="7173" width="12.25" style="1" customWidth="1"/>
    <col min="7174" max="7174" width="11" style="1" customWidth="1"/>
    <col min="7175" max="7175" width="15.625" style="1" customWidth="1"/>
    <col min="7176" max="7176" width="9" style="1" customWidth="1"/>
    <col min="7177" max="7177" width="12.25" style="1" customWidth="1"/>
    <col min="7178" max="7178" width="9" style="1" customWidth="1"/>
    <col min="7179" max="7179" width="5.5" style="1" customWidth="1"/>
    <col min="7180" max="7184" width="11.625" style="1" customWidth="1"/>
    <col min="7185" max="7185" width="14.25" style="1" customWidth="1"/>
    <col min="7186" max="7186" width="10" style="1" customWidth="1"/>
    <col min="7187" max="7187" width="13" style="1" customWidth="1"/>
    <col min="7188" max="7426" width="9" style="1" customWidth="1"/>
    <col min="7427" max="7427" width="12.25" style="1" customWidth="1"/>
    <col min="7428" max="7428" width="11.875" style="1" customWidth="1"/>
    <col min="7429" max="7429" width="12.25" style="1" customWidth="1"/>
    <col min="7430" max="7430" width="11" style="1" customWidth="1"/>
    <col min="7431" max="7431" width="15.625" style="1" customWidth="1"/>
    <col min="7432" max="7432" width="9" style="1" customWidth="1"/>
    <col min="7433" max="7433" width="12.25" style="1" customWidth="1"/>
    <col min="7434" max="7434" width="9" style="1" customWidth="1"/>
    <col min="7435" max="7435" width="5.5" style="1" customWidth="1"/>
    <col min="7436" max="7440" width="11.625" style="1" customWidth="1"/>
    <col min="7441" max="7441" width="14.25" style="1" customWidth="1"/>
    <col min="7442" max="7442" width="10" style="1" customWidth="1"/>
    <col min="7443" max="7443" width="13" style="1" customWidth="1"/>
    <col min="7444" max="7682" width="9" style="1" customWidth="1"/>
    <col min="7683" max="7683" width="12.25" style="1" customWidth="1"/>
    <col min="7684" max="7684" width="11.875" style="1" customWidth="1"/>
    <col min="7685" max="7685" width="12.25" style="1" customWidth="1"/>
    <col min="7686" max="7686" width="11" style="1" customWidth="1"/>
    <col min="7687" max="7687" width="15.625" style="1" customWidth="1"/>
    <col min="7688" max="7688" width="9" style="1" customWidth="1"/>
    <col min="7689" max="7689" width="12.25" style="1" customWidth="1"/>
    <col min="7690" max="7690" width="9" style="1" customWidth="1"/>
    <col min="7691" max="7691" width="5.5" style="1" customWidth="1"/>
    <col min="7692" max="7696" width="11.625" style="1" customWidth="1"/>
    <col min="7697" max="7697" width="14.25" style="1" customWidth="1"/>
    <col min="7698" max="7698" width="10" style="1" customWidth="1"/>
    <col min="7699" max="7699" width="13" style="1" customWidth="1"/>
    <col min="7700" max="7938" width="9" style="1" customWidth="1"/>
    <col min="7939" max="7939" width="12.25" style="1" customWidth="1"/>
    <col min="7940" max="7940" width="11.875" style="1" customWidth="1"/>
    <col min="7941" max="7941" width="12.25" style="1" customWidth="1"/>
    <col min="7942" max="7942" width="11" style="1" customWidth="1"/>
    <col min="7943" max="7943" width="15.625" style="1" customWidth="1"/>
    <col min="7944" max="7944" width="9" style="1" customWidth="1"/>
    <col min="7945" max="7945" width="12.25" style="1" customWidth="1"/>
    <col min="7946" max="7946" width="9" style="1" customWidth="1"/>
    <col min="7947" max="7947" width="5.5" style="1" customWidth="1"/>
    <col min="7948" max="7952" width="11.625" style="1" customWidth="1"/>
    <col min="7953" max="7953" width="14.25" style="1" customWidth="1"/>
    <col min="7954" max="7954" width="10" style="1" customWidth="1"/>
    <col min="7955" max="7955" width="13" style="1" customWidth="1"/>
    <col min="7956" max="8194" width="9" style="1" customWidth="1"/>
    <col min="8195" max="8195" width="12.25" style="1" customWidth="1"/>
    <col min="8196" max="8196" width="11.875" style="1" customWidth="1"/>
    <col min="8197" max="8197" width="12.25" style="1" customWidth="1"/>
    <col min="8198" max="8198" width="11" style="1" customWidth="1"/>
    <col min="8199" max="8199" width="15.625" style="1" customWidth="1"/>
    <col min="8200" max="8200" width="9" style="1" customWidth="1"/>
    <col min="8201" max="8201" width="12.25" style="1" customWidth="1"/>
    <col min="8202" max="8202" width="9" style="1" customWidth="1"/>
    <col min="8203" max="8203" width="5.5" style="1" customWidth="1"/>
    <col min="8204" max="8208" width="11.625" style="1" customWidth="1"/>
    <col min="8209" max="8209" width="14.25" style="1" customWidth="1"/>
    <col min="8210" max="8210" width="10" style="1" customWidth="1"/>
    <col min="8211" max="8211" width="13" style="1" customWidth="1"/>
    <col min="8212" max="8450" width="9" style="1" customWidth="1"/>
    <col min="8451" max="8451" width="12.25" style="1" customWidth="1"/>
    <col min="8452" max="8452" width="11.875" style="1" customWidth="1"/>
    <col min="8453" max="8453" width="12.25" style="1" customWidth="1"/>
    <col min="8454" max="8454" width="11" style="1" customWidth="1"/>
    <col min="8455" max="8455" width="15.625" style="1" customWidth="1"/>
    <col min="8456" max="8456" width="9" style="1" customWidth="1"/>
    <col min="8457" max="8457" width="12.25" style="1" customWidth="1"/>
    <col min="8458" max="8458" width="9" style="1" customWidth="1"/>
    <col min="8459" max="8459" width="5.5" style="1" customWidth="1"/>
    <col min="8460" max="8464" width="11.625" style="1" customWidth="1"/>
    <col min="8465" max="8465" width="14.25" style="1" customWidth="1"/>
    <col min="8466" max="8466" width="10" style="1" customWidth="1"/>
    <col min="8467" max="8467" width="13" style="1" customWidth="1"/>
    <col min="8468" max="8706" width="9" style="1" customWidth="1"/>
    <col min="8707" max="8707" width="12.25" style="1" customWidth="1"/>
    <col min="8708" max="8708" width="11.875" style="1" customWidth="1"/>
    <col min="8709" max="8709" width="12.25" style="1" customWidth="1"/>
    <col min="8710" max="8710" width="11" style="1" customWidth="1"/>
    <col min="8711" max="8711" width="15.625" style="1" customWidth="1"/>
    <col min="8712" max="8712" width="9" style="1" customWidth="1"/>
    <col min="8713" max="8713" width="12.25" style="1" customWidth="1"/>
    <col min="8714" max="8714" width="9" style="1" customWidth="1"/>
    <col min="8715" max="8715" width="5.5" style="1" customWidth="1"/>
    <col min="8716" max="8720" width="11.625" style="1" customWidth="1"/>
    <col min="8721" max="8721" width="14.25" style="1" customWidth="1"/>
    <col min="8722" max="8722" width="10" style="1" customWidth="1"/>
    <col min="8723" max="8723" width="13" style="1" customWidth="1"/>
    <col min="8724" max="8962" width="9" style="1" customWidth="1"/>
    <col min="8963" max="8963" width="12.25" style="1" customWidth="1"/>
    <col min="8964" max="8964" width="11.875" style="1" customWidth="1"/>
    <col min="8965" max="8965" width="12.25" style="1" customWidth="1"/>
    <col min="8966" max="8966" width="11" style="1" customWidth="1"/>
    <col min="8967" max="8967" width="15.625" style="1" customWidth="1"/>
    <col min="8968" max="8968" width="9" style="1" customWidth="1"/>
    <col min="8969" max="8969" width="12.25" style="1" customWidth="1"/>
    <col min="8970" max="8970" width="9" style="1" customWidth="1"/>
    <col min="8971" max="8971" width="5.5" style="1" customWidth="1"/>
    <col min="8972" max="8976" width="11.625" style="1" customWidth="1"/>
    <col min="8977" max="8977" width="14.25" style="1" customWidth="1"/>
    <col min="8978" max="8978" width="10" style="1" customWidth="1"/>
    <col min="8979" max="8979" width="13" style="1" customWidth="1"/>
    <col min="8980" max="9218" width="9" style="1" customWidth="1"/>
    <col min="9219" max="9219" width="12.25" style="1" customWidth="1"/>
    <col min="9220" max="9220" width="11.875" style="1" customWidth="1"/>
    <col min="9221" max="9221" width="12.25" style="1" customWidth="1"/>
    <col min="9222" max="9222" width="11" style="1" customWidth="1"/>
    <col min="9223" max="9223" width="15.625" style="1" customWidth="1"/>
    <col min="9224" max="9224" width="9" style="1" customWidth="1"/>
    <col min="9225" max="9225" width="12.25" style="1" customWidth="1"/>
    <col min="9226" max="9226" width="9" style="1" customWidth="1"/>
    <col min="9227" max="9227" width="5.5" style="1" customWidth="1"/>
    <col min="9228" max="9232" width="11.625" style="1" customWidth="1"/>
    <col min="9233" max="9233" width="14.25" style="1" customWidth="1"/>
    <col min="9234" max="9234" width="10" style="1" customWidth="1"/>
    <col min="9235" max="9235" width="13" style="1" customWidth="1"/>
    <col min="9236" max="9474" width="9" style="1" customWidth="1"/>
    <col min="9475" max="9475" width="12.25" style="1" customWidth="1"/>
    <col min="9476" max="9476" width="11.875" style="1" customWidth="1"/>
    <col min="9477" max="9477" width="12.25" style="1" customWidth="1"/>
    <col min="9478" max="9478" width="11" style="1" customWidth="1"/>
    <col min="9479" max="9479" width="15.625" style="1" customWidth="1"/>
    <col min="9480" max="9480" width="9" style="1" customWidth="1"/>
    <col min="9481" max="9481" width="12.25" style="1" customWidth="1"/>
    <col min="9482" max="9482" width="9" style="1" customWidth="1"/>
    <col min="9483" max="9483" width="5.5" style="1" customWidth="1"/>
    <col min="9484" max="9488" width="11.625" style="1" customWidth="1"/>
    <col min="9489" max="9489" width="14.25" style="1" customWidth="1"/>
    <col min="9490" max="9490" width="10" style="1" customWidth="1"/>
    <col min="9491" max="9491" width="13" style="1" customWidth="1"/>
    <col min="9492" max="9730" width="9" style="1" customWidth="1"/>
    <col min="9731" max="9731" width="12.25" style="1" customWidth="1"/>
    <col min="9732" max="9732" width="11.875" style="1" customWidth="1"/>
    <col min="9733" max="9733" width="12.25" style="1" customWidth="1"/>
    <col min="9734" max="9734" width="11" style="1" customWidth="1"/>
    <col min="9735" max="9735" width="15.625" style="1" customWidth="1"/>
    <col min="9736" max="9736" width="9" style="1" customWidth="1"/>
    <col min="9737" max="9737" width="12.25" style="1" customWidth="1"/>
    <col min="9738" max="9738" width="9" style="1" customWidth="1"/>
    <col min="9739" max="9739" width="5.5" style="1" customWidth="1"/>
    <col min="9740" max="9744" width="11.625" style="1" customWidth="1"/>
    <col min="9745" max="9745" width="14.25" style="1" customWidth="1"/>
    <col min="9746" max="9746" width="10" style="1" customWidth="1"/>
    <col min="9747" max="9747" width="13" style="1" customWidth="1"/>
    <col min="9748" max="9986" width="9" style="1" customWidth="1"/>
    <col min="9987" max="9987" width="12.25" style="1" customWidth="1"/>
    <col min="9988" max="9988" width="11.875" style="1" customWidth="1"/>
    <col min="9989" max="9989" width="12.25" style="1" customWidth="1"/>
    <col min="9990" max="9990" width="11" style="1" customWidth="1"/>
    <col min="9991" max="9991" width="15.625" style="1" customWidth="1"/>
    <col min="9992" max="9992" width="9" style="1" customWidth="1"/>
    <col min="9993" max="9993" width="12.25" style="1" customWidth="1"/>
    <col min="9994" max="9994" width="9" style="1" customWidth="1"/>
    <col min="9995" max="9995" width="5.5" style="1" customWidth="1"/>
    <col min="9996" max="10000" width="11.625" style="1" customWidth="1"/>
    <col min="10001" max="10001" width="14.25" style="1" customWidth="1"/>
    <col min="10002" max="10002" width="10" style="1" customWidth="1"/>
    <col min="10003" max="10003" width="13" style="1" customWidth="1"/>
    <col min="10004" max="10242" width="9" style="1" customWidth="1"/>
    <col min="10243" max="10243" width="12.25" style="1" customWidth="1"/>
    <col min="10244" max="10244" width="11.875" style="1" customWidth="1"/>
    <col min="10245" max="10245" width="12.25" style="1" customWidth="1"/>
    <col min="10246" max="10246" width="11" style="1" customWidth="1"/>
    <col min="10247" max="10247" width="15.625" style="1" customWidth="1"/>
    <col min="10248" max="10248" width="9" style="1" customWidth="1"/>
    <col min="10249" max="10249" width="12.25" style="1" customWidth="1"/>
    <col min="10250" max="10250" width="9" style="1" customWidth="1"/>
    <col min="10251" max="10251" width="5.5" style="1" customWidth="1"/>
    <col min="10252" max="10256" width="11.625" style="1" customWidth="1"/>
    <col min="10257" max="10257" width="14.25" style="1" customWidth="1"/>
    <col min="10258" max="10258" width="10" style="1" customWidth="1"/>
    <col min="10259" max="10259" width="13" style="1" customWidth="1"/>
    <col min="10260" max="10498" width="9" style="1" customWidth="1"/>
    <col min="10499" max="10499" width="12.25" style="1" customWidth="1"/>
    <col min="10500" max="10500" width="11.875" style="1" customWidth="1"/>
    <col min="10501" max="10501" width="12.25" style="1" customWidth="1"/>
    <col min="10502" max="10502" width="11" style="1" customWidth="1"/>
    <col min="10503" max="10503" width="15.625" style="1" customWidth="1"/>
    <col min="10504" max="10504" width="9" style="1" customWidth="1"/>
    <col min="10505" max="10505" width="12.25" style="1" customWidth="1"/>
    <col min="10506" max="10506" width="9" style="1" customWidth="1"/>
    <col min="10507" max="10507" width="5.5" style="1" customWidth="1"/>
    <col min="10508" max="10512" width="11.625" style="1" customWidth="1"/>
    <col min="10513" max="10513" width="14.25" style="1" customWidth="1"/>
    <col min="10514" max="10514" width="10" style="1" customWidth="1"/>
    <col min="10515" max="10515" width="13" style="1" customWidth="1"/>
    <col min="10516" max="10754" width="9" style="1" customWidth="1"/>
    <col min="10755" max="10755" width="12.25" style="1" customWidth="1"/>
    <col min="10756" max="10756" width="11.875" style="1" customWidth="1"/>
    <col min="10757" max="10757" width="12.25" style="1" customWidth="1"/>
    <col min="10758" max="10758" width="11" style="1" customWidth="1"/>
    <col min="10759" max="10759" width="15.625" style="1" customWidth="1"/>
    <col min="10760" max="10760" width="9" style="1" customWidth="1"/>
    <col min="10761" max="10761" width="12.25" style="1" customWidth="1"/>
    <col min="10762" max="10762" width="9" style="1" customWidth="1"/>
    <col min="10763" max="10763" width="5.5" style="1" customWidth="1"/>
    <col min="10764" max="10768" width="11.625" style="1" customWidth="1"/>
    <col min="10769" max="10769" width="14.25" style="1" customWidth="1"/>
    <col min="10770" max="10770" width="10" style="1" customWidth="1"/>
    <col min="10771" max="10771" width="13" style="1" customWidth="1"/>
    <col min="10772" max="11010" width="9" style="1" customWidth="1"/>
    <col min="11011" max="11011" width="12.25" style="1" customWidth="1"/>
    <col min="11012" max="11012" width="11.875" style="1" customWidth="1"/>
    <col min="11013" max="11013" width="12.25" style="1" customWidth="1"/>
    <col min="11014" max="11014" width="11" style="1" customWidth="1"/>
    <col min="11015" max="11015" width="15.625" style="1" customWidth="1"/>
    <col min="11016" max="11016" width="9" style="1" customWidth="1"/>
    <col min="11017" max="11017" width="12.25" style="1" customWidth="1"/>
    <col min="11018" max="11018" width="9" style="1" customWidth="1"/>
    <col min="11019" max="11019" width="5.5" style="1" customWidth="1"/>
    <col min="11020" max="11024" width="11.625" style="1" customWidth="1"/>
    <col min="11025" max="11025" width="14.25" style="1" customWidth="1"/>
    <col min="11026" max="11026" width="10" style="1" customWidth="1"/>
    <col min="11027" max="11027" width="13" style="1" customWidth="1"/>
    <col min="11028" max="11266" width="9" style="1" customWidth="1"/>
    <col min="11267" max="11267" width="12.25" style="1" customWidth="1"/>
    <col min="11268" max="11268" width="11.875" style="1" customWidth="1"/>
    <col min="11269" max="11269" width="12.25" style="1" customWidth="1"/>
    <col min="11270" max="11270" width="11" style="1" customWidth="1"/>
    <col min="11271" max="11271" width="15.625" style="1" customWidth="1"/>
    <col min="11272" max="11272" width="9" style="1" customWidth="1"/>
    <col min="11273" max="11273" width="12.25" style="1" customWidth="1"/>
    <col min="11274" max="11274" width="9" style="1" customWidth="1"/>
    <col min="11275" max="11275" width="5.5" style="1" customWidth="1"/>
    <col min="11276" max="11280" width="11.625" style="1" customWidth="1"/>
    <col min="11281" max="11281" width="14.25" style="1" customWidth="1"/>
    <col min="11282" max="11282" width="10" style="1" customWidth="1"/>
    <col min="11283" max="11283" width="13" style="1" customWidth="1"/>
    <col min="11284" max="11522" width="9" style="1" customWidth="1"/>
    <col min="11523" max="11523" width="12.25" style="1" customWidth="1"/>
    <col min="11524" max="11524" width="11.875" style="1" customWidth="1"/>
    <col min="11525" max="11525" width="12.25" style="1" customWidth="1"/>
    <col min="11526" max="11526" width="11" style="1" customWidth="1"/>
    <col min="11527" max="11527" width="15.625" style="1" customWidth="1"/>
    <col min="11528" max="11528" width="9" style="1" customWidth="1"/>
    <col min="11529" max="11529" width="12.25" style="1" customWidth="1"/>
    <col min="11530" max="11530" width="9" style="1" customWidth="1"/>
    <col min="11531" max="11531" width="5.5" style="1" customWidth="1"/>
    <col min="11532" max="11536" width="11.625" style="1" customWidth="1"/>
    <col min="11537" max="11537" width="14.25" style="1" customWidth="1"/>
    <col min="11538" max="11538" width="10" style="1" customWidth="1"/>
    <col min="11539" max="11539" width="13" style="1" customWidth="1"/>
    <col min="11540" max="11778" width="9" style="1" customWidth="1"/>
    <col min="11779" max="11779" width="12.25" style="1" customWidth="1"/>
    <col min="11780" max="11780" width="11.875" style="1" customWidth="1"/>
    <col min="11781" max="11781" width="12.25" style="1" customWidth="1"/>
    <col min="11782" max="11782" width="11" style="1" customWidth="1"/>
    <col min="11783" max="11783" width="15.625" style="1" customWidth="1"/>
    <col min="11784" max="11784" width="9" style="1" customWidth="1"/>
    <col min="11785" max="11785" width="12.25" style="1" customWidth="1"/>
    <col min="11786" max="11786" width="9" style="1" customWidth="1"/>
    <col min="11787" max="11787" width="5.5" style="1" customWidth="1"/>
    <col min="11788" max="11792" width="11.625" style="1" customWidth="1"/>
    <col min="11793" max="11793" width="14.25" style="1" customWidth="1"/>
    <col min="11794" max="11794" width="10" style="1" customWidth="1"/>
    <col min="11795" max="11795" width="13" style="1" customWidth="1"/>
    <col min="11796" max="12034" width="9" style="1" customWidth="1"/>
    <col min="12035" max="12035" width="12.25" style="1" customWidth="1"/>
    <col min="12036" max="12036" width="11.875" style="1" customWidth="1"/>
    <col min="12037" max="12037" width="12.25" style="1" customWidth="1"/>
    <col min="12038" max="12038" width="11" style="1" customWidth="1"/>
    <col min="12039" max="12039" width="15.625" style="1" customWidth="1"/>
    <col min="12040" max="12040" width="9" style="1" customWidth="1"/>
    <col min="12041" max="12041" width="12.25" style="1" customWidth="1"/>
    <col min="12042" max="12042" width="9" style="1" customWidth="1"/>
    <col min="12043" max="12043" width="5.5" style="1" customWidth="1"/>
    <col min="12044" max="12048" width="11.625" style="1" customWidth="1"/>
    <col min="12049" max="12049" width="14.25" style="1" customWidth="1"/>
    <col min="12050" max="12050" width="10" style="1" customWidth="1"/>
    <col min="12051" max="12051" width="13" style="1" customWidth="1"/>
    <col min="12052" max="12290" width="9" style="1" customWidth="1"/>
    <col min="12291" max="12291" width="12.25" style="1" customWidth="1"/>
    <col min="12292" max="12292" width="11.875" style="1" customWidth="1"/>
    <col min="12293" max="12293" width="12.25" style="1" customWidth="1"/>
    <col min="12294" max="12294" width="11" style="1" customWidth="1"/>
    <col min="12295" max="12295" width="15.625" style="1" customWidth="1"/>
    <col min="12296" max="12296" width="9" style="1" customWidth="1"/>
    <col min="12297" max="12297" width="12.25" style="1" customWidth="1"/>
    <col min="12298" max="12298" width="9" style="1" customWidth="1"/>
    <col min="12299" max="12299" width="5.5" style="1" customWidth="1"/>
    <col min="12300" max="12304" width="11.625" style="1" customWidth="1"/>
    <col min="12305" max="12305" width="14.25" style="1" customWidth="1"/>
    <col min="12306" max="12306" width="10" style="1" customWidth="1"/>
    <col min="12307" max="12307" width="13" style="1" customWidth="1"/>
    <col min="12308" max="12546" width="9" style="1" customWidth="1"/>
    <col min="12547" max="12547" width="12.25" style="1" customWidth="1"/>
    <col min="12548" max="12548" width="11.875" style="1" customWidth="1"/>
    <col min="12549" max="12549" width="12.25" style="1" customWidth="1"/>
    <col min="12550" max="12550" width="11" style="1" customWidth="1"/>
    <col min="12551" max="12551" width="15.625" style="1" customWidth="1"/>
    <col min="12552" max="12552" width="9" style="1" customWidth="1"/>
    <col min="12553" max="12553" width="12.25" style="1" customWidth="1"/>
    <col min="12554" max="12554" width="9" style="1" customWidth="1"/>
    <col min="12555" max="12555" width="5.5" style="1" customWidth="1"/>
    <col min="12556" max="12560" width="11.625" style="1" customWidth="1"/>
    <col min="12561" max="12561" width="14.25" style="1" customWidth="1"/>
    <col min="12562" max="12562" width="10" style="1" customWidth="1"/>
    <col min="12563" max="12563" width="13" style="1" customWidth="1"/>
    <col min="12564" max="12802" width="9" style="1" customWidth="1"/>
    <col min="12803" max="12803" width="12.25" style="1" customWidth="1"/>
    <col min="12804" max="12804" width="11.875" style="1" customWidth="1"/>
    <col min="12805" max="12805" width="12.25" style="1" customWidth="1"/>
    <col min="12806" max="12806" width="11" style="1" customWidth="1"/>
    <col min="12807" max="12807" width="15.625" style="1" customWidth="1"/>
    <col min="12808" max="12808" width="9" style="1" customWidth="1"/>
    <col min="12809" max="12809" width="12.25" style="1" customWidth="1"/>
    <col min="12810" max="12810" width="9" style="1" customWidth="1"/>
    <col min="12811" max="12811" width="5.5" style="1" customWidth="1"/>
    <col min="12812" max="12816" width="11.625" style="1" customWidth="1"/>
    <col min="12817" max="12817" width="14.25" style="1" customWidth="1"/>
    <col min="12818" max="12818" width="10" style="1" customWidth="1"/>
    <col min="12819" max="12819" width="13" style="1" customWidth="1"/>
    <col min="12820" max="13058" width="9" style="1" customWidth="1"/>
    <col min="13059" max="13059" width="12.25" style="1" customWidth="1"/>
    <col min="13060" max="13060" width="11.875" style="1" customWidth="1"/>
    <col min="13061" max="13061" width="12.25" style="1" customWidth="1"/>
    <col min="13062" max="13062" width="11" style="1" customWidth="1"/>
    <col min="13063" max="13063" width="15.625" style="1" customWidth="1"/>
    <col min="13064" max="13064" width="9" style="1" customWidth="1"/>
    <col min="13065" max="13065" width="12.25" style="1" customWidth="1"/>
    <col min="13066" max="13066" width="9" style="1" customWidth="1"/>
    <col min="13067" max="13067" width="5.5" style="1" customWidth="1"/>
    <col min="13068" max="13072" width="11.625" style="1" customWidth="1"/>
    <col min="13073" max="13073" width="14.25" style="1" customWidth="1"/>
    <col min="13074" max="13074" width="10" style="1" customWidth="1"/>
    <col min="13075" max="13075" width="13" style="1" customWidth="1"/>
    <col min="13076" max="13314" width="9" style="1" customWidth="1"/>
    <col min="13315" max="13315" width="12.25" style="1" customWidth="1"/>
    <col min="13316" max="13316" width="11.875" style="1" customWidth="1"/>
    <col min="13317" max="13317" width="12.25" style="1" customWidth="1"/>
    <col min="13318" max="13318" width="11" style="1" customWidth="1"/>
    <col min="13319" max="13319" width="15.625" style="1" customWidth="1"/>
    <col min="13320" max="13320" width="9" style="1" customWidth="1"/>
    <col min="13321" max="13321" width="12.25" style="1" customWidth="1"/>
    <col min="13322" max="13322" width="9" style="1" customWidth="1"/>
    <col min="13323" max="13323" width="5.5" style="1" customWidth="1"/>
    <col min="13324" max="13328" width="11.625" style="1" customWidth="1"/>
    <col min="13329" max="13329" width="14.25" style="1" customWidth="1"/>
    <col min="13330" max="13330" width="10" style="1" customWidth="1"/>
    <col min="13331" max="13331" width="13" style="1" customWidth="1"/>
    <col min="13332" max="13570" width="9" style="1" customWidth="1"/>
    <col min="13571" max="13571" width="12.25" style="1" customWidth="1"/>
    <col min="13572" max="13572" width="11.875" style="1" customWidth="1"/>
    <col min="13573" max="13573" width="12.25" style="1" customWidth="1"/>
    <col min="13574" max="13574" width="11" style="1" customWidth="1"/>
    <col min="13575" max="13575" width="15.625" style="1" customWidth="1"/>
    <col min="13576" max="13576" width="9" style="1" customWidth="1"/>
    <col min="13577" max="13577" width="12.25" style="1" customWidth="1"/>
    <col min="13578" max="13578" width="9" style="1" customWidth="1"/>
    <col min="13579" max="13579" width="5.5" style="1" customWidth="1"/>
    <col min="13580" max="13584" width="11.625" style="1" customWidth="1"/>
    <col min="13585" max="13585" width="14.25" style="1" customWidth="1"/>
    <col min="13586" max="13586" width="10" style="1" customWidth="1"/>
    <col min="13587" max="13587" width="13" style="1" customWidth="1"/>
    <col min="13588" max="13826" width="9" style="1" customWidth="1"/>
    <col min="13827" max="13827" width="12.25" style="1" customWidth="1"/>
    <col min="13828" max="13828" width="11.875" style="1" customWidth="1"/>
    <col min="13829" max="13829" width="12.25" style="1" customWidth="1"/>
    <col min="13830" max="13830" width="11" style="1" customWidth="1"/>
    <col min="13831" max="13831" width="15.625" style="1" customWidth="1"/>
    <col min="13832" max="13832" width="9" style="1" customWidth="1"/>
    <col min="13833" max="13833" width="12.25" style="1" customWidth="1"/>
    <col min="13834" max="13834" width="9" style="1" customWidth="1"/>
    <col min="13835" max="13835" width="5.5" style="1" customWidth="1"/>
    <col min="13836" max="13840" width="11.625" style="1" customWidth="1"/>
    <col min="13841" max="13841" width="14.25" style="1" customWidth="1"/>
    <col min="13842" max="13842" width="10" style="1" customWidth="1"/>
    <col min="13843" max="13843" width="13" style="1" customWidth="1"/>
    <col min="13844" max="14082" width="9" style="1" customWidth="1"/>
    <col min="14083" max="14083" width="12.25" style="1" customWidth="1"/>
    <col min="14084" max="14084" width="11.875" style="1" customWidth="1"/>
    <col min="14085" max="14085" width="12.25" style="1" customWidth="1"/>
    <col min="14086" max="14086" width="11" style="1" customWidth="1"/>
    <col min="14087" max="14087" width="15.625" style="1" customWidth="1"/>
    <col min="14088" max="14088" width="9" style="1" customWidth="1"/>
    <col min="14089" max="14089" width="12.25" style="1" customWidth="1"/>
    <col min="14090" max="14090" width="9" style="1" customWidth="1"/>
    <col min="14091" max="14091" width="5.5" style="1" customWidth="1"/>
    <col min="14092" max="14096" width="11.625" style="1" customWidth="1"/>
    <col min="14097" max="14097" width="14.25" style="1" customWidth="1"/>
    <col min="14098" max="14098" width="10" style="1" customWidth="1"/>
    <col min="14099" max="14099" width="13" style="1" customWidth="1"/>
    <col min="14100" max="14338" width="9" style="1" customWidth="1"/>
    <col min="14339" max="14339" width="12.25" style="1" customWidth="1"/>
    <col min="14340" max="14340" width="11.875" style="1" customWidth="1"/>
    <col min="14341" max="14341" width="12.25" style="1" customWidth="1"/>
    <col min="14342" max="14342" width="11" style="1" customWidth="1"/>
    <col min="14343" max="14343" width="15.625" style="1" customWidth="1"/>
    <col min="14344" max="14344" width="9" style="1" customWidth="1"/>
    <col min="14345" max="14345" width="12.25" style="1" customWidth="1"/>
    <col min="14346" max="14346" width="9" style="1" customWidth="1"/>
    <col min="14347" max="14347" width="5.5" style="1" customWidth="1"/>
    <col min="14348" max="14352" width="11.625" style="1" customWidth="1"/>
    <col min="14353" max="14353" width="14.25" style="1" customWidth="1"/>
    <col min="14354" max="14354" width="10" style="1" customWidth="1"/>
    <col min="14355" max="14355" width="13" style="1" customWidth="1"/>
    <col min="14356" max="14594" width="9" style="1" customWidth="1"/>
    <col min="14595" max="14595" width="12.25" style="1" customWidth="1"/>
    <col min="14596" max="14596" width="11.875" style="1" customWidth="1"/>
    <col min="14597" max="14597" width="12.25" style="1" customWidth="1"/>
    <col min="14598" max="14598" width="11" style="1" customWidth="1"/>
    <col min="14599" max="14599" width="15.625" style="1" customWidth="1"/>
    <col min="14600" max="14600" width="9" style="1" customWidth="1"/>
    <col min="14601" max="14601" width="12.25" style="1" customWidth="1"/>
    <col min="14602" max="14602" width="9" style="1" customWidth="1"/>
    <col min="14603" max="14603" width="5.5" style="1" customWidth="1"/>
    <col min="14604" max="14608" width="11.625" style="1" customWidth="1"/>
    <col min="14609" max="14609" width="14.25" style="1" customWidth="1"/>
    <col min="14610" max="14610" width="10" style="1" customWidth="1"/>
    <col min="14611" max="14611" width="13" style="1" customWidth="1"/>
    <col min="14612" max="14850" width="9" style="1" customWidth="1"/>
    <col min="14851" max="14851" width="12.25" style="1" customWidth="1"/>
    <col min="14852" max="14852" width="11.875" style="1" customWidth="1"/>
    <col min="14853" max="14853" width="12.25" style="1" customWidth="1"/>
    <col min="14854" max="14854" width="11" style="1" customWidth="1"/>
    <col min="14855" max="14855" width="15.625" style="1" customWidth="1"/>
    <col min="14856" max="14856" width="9" style="1" customWidth="1"/>
    <col min="14857" max="14857" width="12.25" style="1" customWidth="1"/>
    <col min="14858" max="14858" width="9" style="1" customWidth="1"/>
    <col min="14859" max="14859" width="5.5" style="1" customWidth="1"/>
    <col min="14860" max="14864" width="11.625" style="1" customWidth="1"/>
    <col min="14865" max="14865" width="14.25" style="1" customWidth="1"/>
    <col min="14866" max="14866" width="10" style="1" customWidth="1"/>
    <col min="14867" max="14867" width="13" style="1" customWidth="1"/>
    <col min="14868" max="15106" width="9" style="1" customWidth="1"/>
    <col min="15107" max="15107" width="12.25" style="1" customWidth="1"/>
    <col min="15108" max="15108" width="11.875" style="1" customWidth="1"/>
    <col min="15109" max="15109" width="12.25" style="1" customWidth="1"/>
    <col min="15110" max="15110" width="11" style="1" customWidth="1"/>
    <col min="15111" max="15111" width="15.625" style="1" customWidth="1"/>
    <col min="15112" max="15112" width="9" style="1" customWidth="1"/>
    <col min="15113" max="15113" width="12.25" style="1" customWidth="1"/>
    <col min="15114" max="15114" width="9" style="1" customWidth="1"/>
    <col min="15115" max="15115" width="5.5" style="1" customWidth="1"/>
    <col min="15116" max="15120" width="11.625" style="1" customWidth="1"/>
    <col min="15121" max="15121" width="14.25" style="1" customWidth="1"/>
    <col min="15122" max="15122" width="10" style="1" customWidth="1"/>
    <col min="15123" max="15123" width="13" style="1" customWidth="1"/>
    <col min="15124" max="15362" width="9" style="1" customWidth="1"/>
    <col min="15363" max="15363" width="12.25" style="1" customWidth="1"/>
    <col min="15364" max="15364" width="11.875" style="1" customWidth="1"/>
    <col min="15365" max="15365" width="12.25" style="1" customWidth="1"/>
    <col min="15366" max="15366" width="11" style="1" customWidth="1"/>
    <col min="15367" max="15367" width="15.625" style="1" customWidth="1"/>
    <col min="15368" max="15368" width="9" style="1" customWidth="1"/>
    <col min="15369" max="15369" width="12.25" style="1" customWidth="1"/>
    <col min="15370" max="15370" width="9" style="1" customWidth="1"/>
    <col min="15371" max="15371" width="5.5" style="1" customWidth="1"/>
    <col min="15372" max="15376" width="11.625" style="1" customWidth="1"/>
    <col min="15377" max="15377" width="14.25" style="1" customWidth="1"/>
    <col min="15378" max="15378" width="10" style="1" customWidth="1"/>
    <col min="15379" max="15379" width="13" style="1" customWidth="1"/>
    <col min="15380" max="15618" width="9" style="1" customWidth="1"/>
    <col min="15619" max="15619" width="12.25" style="1" customWidth="1"/>
    <col min="15620" max="15620" width="11.875" style="1" customWidth="1"/>
    <col min="15621" max="15621" width="12.25" style="1" customWidth="1"/>
    <col min="15622" max="15622" width="11" style="1" customWidth="1"/>
    <col min="15623" max="15623" width="15.625" style="1" customWidth="1"/>
    <col min="15624" max="15624" width="9" style="1" customWidth="1"/>
    <col min="15625" max="15625" width="12.25" style="1" customWidth="1"/>
    <col min="15626" max="15626" width="9" style="1" customWidth="1"/>
    <col min="15627" max="15627" width="5.5" style="1" customWidth="1"/>
    <col min="15628" max="15632" width="11.625" style="1" customWidth="1"/>
    <col min="15633" max="15633" width="14.25" style="1" customWidth="1"/>
    <col min="15634" max="15634" width="10" style="1" customWidth="1"/>
    <col min="15635" max="15635" width="13" style="1" customWidth="1"/>
    <col min="15636" max="15874" width="9" style="1" customWidth="1"/>
    <col min="15875" max="15875" width="12.25" style="1" customWidth="1"/>
    <col min="15876" max="15876" width="11.875" style="1" customWidth="1"/>
    <col min="15877" max="15877" width="12.25" style="1" customWidth="1"/>
    <col min="15878" max="15878" width="11" style="1" customWidth="1"/>
    <col min="15879" max="15879" width="15.625" style="1" customWidth="1"/>
    <col min="15880" max="15880" width="9" style="1" customWidth="1"/>
    <col min="15881" max="15881" width="12.25" style="1" customWidth="1"/>
    <col min="15882" max="15882" width="9" style="1" customWidth="1"/>
    <col min="15883" max="15883" width="5.5" style="1" customWidth="1"/>
    <col min="15884" max="15888" width="11.625" style="1" customWidth="1"/>
    <col min="15889" max="15889" width="14.25" style="1" customWidth="1"/>
    <col min="15890" max="15890" width="10" style="1" customWidth="1"/>
    <col min="15891" max="15891" width="13" style="1" customWidth="1"/>
    <col min="15892" max="16130" width="9" style="1" customWidth="1"/>
    <col min="16131" max="16131" width="12.25" style="1" customWidth="1"/>
    <col min="16132" max="16132" width="11.875" style="1" customWidth="1"/>
    <col min="16133" max="16133" width="12.25" style="1" customWidth="1"/>
    <col min="16134" max="16134" width="11" style="1" customWidth="1"/>
    <col min="16135" max="16135" width="15.625" style="1" customWidth="1"/>
    <col min="16136" max="16136" width="9" style="1" customWidth="1"/>
    <col min="16137" max="16137" width="12.25" style="1" customWidth="1"/>
    <col min="16138" max="16138" width="9" style="1" customWidth="1"/>
    <col min="16139" max="16139" width="5.5" style="1" customWidth="1"/>
    <col min="16140" max="16144" width="11.625" style="1" customWidth="1"/>
    <col min="16145" max="16145" width="14.25" style="1" customWidth="1"/>
    <col min="16146" max="16146" width="10" style="1" customWidth="1"/>
    <col min="16147" max="16147" width="13" style="1" customWidth="1"/>
    <col min="16148" max="16384" width="9" style="1" customWidth="1"/>
  </cols>
  <sheetData>
    <row r="1" ht="14.25" customHeight="1" spans="1:19" x14ac:dyDescent="0.25">
      <c r="A1" s="3" t="s">
        <v>0</v>
      </c>
      <c r="B1" s="3"/>
      <c r="C1" s="3"/>
      <c r="D1" s="3"/>
      <c r="E1" s="3"/>
      <c r="F1" s="4"/>
      <c r="G1" s="4"/>
      <c r="H1" s="4"/>
      <c r="I1" s="4"/>
      <c r="J1" s="4"/>
      <c r="L1" s="5" t="s">
        <v>1</v>
      </c>
      <c r="M1" s="5"/>
      <c r="N1" s="5"/>
      <c r="O1" s="5"/>
      <c r="P1" s="5"/>
      <c r="Q1" s="5"/>
      <c r="S1" s="6"/>
    </row>
    <row r="2" ht="27" customHeight="1" spans="1:19" x14ac:dyDescent="0.25">
      <c r="A2" s="7" t="s">
        <v>2</v>
      </c>
      <c r="B2" s="7"/>
      <c r="C2" s="7"/>
      <c r="D2" s="7"/>
      <c r="E2" s="7"/>
      <c r="F2" s="7"/>
      <c r="G2" s="7"/>
      <c r="H2" s="7"/>
      <c r="I2" s="7"/>
      <c r="J2" s="7"/>
      <c r="L2" s="5"/>
      <c r="M2" s="5"/>
      <c r="N2" s="5"/>
      <c r="O2" s="5"/>
      <c r="P2" s="5"/>
      <c r="Q2" s="5"/>
      <c r="S2" s="6"/>
    </row>
    <row r="3" ht="6" customHeight="1" spans="1:19" x14ac:dyDescent="0.25">
      <c r="A3" s="4"/>
      <c r="B3" s="4"/>
      <c r="C3" s="4"/>
      <c r="D3" s="4"/>
      <c r="E3" s="4"/>
      <c r="F3" s="4"/>
      <c r="G3" s="4"/>
      <c r="H3" s="4"/>
      <c r="I3" s="4"/>
      <c r="J3" s="4"/>
      <c r="K3" s="8"/>
      <c r="L3" s="9" t="s">
        <v>3</v>
      </c>
      <c r="M3" s="9"/>
      <c r="N3" s="9"/>
      <c r="O3" s="9"/>
      <c r="P3" s="9"/>
      <c r="S3" s="6"/>
    </row>
    <row r="4" ht="17.25" customHeight="1" spans="1:19" x14ac:dyDescent="0.25">
      <c r="A4" s="10" t="s">
        <v>4</v>
      </c>
      <c r="B4" s="11"/>
      <c r="C4" s="12" t="s">
        <v>5</v>
      </c>
      <c r="D4" s="12"/>
      <c r="E4" s="13"/>
      <c r="F4" s="12" t="s">
        <v>6</v>
      </c>
      <c r="G4" s="12"/>
      <c r="H4" s="12"/>
      <c r="I4" s="12"/>
      <c r="J4" s="14"/>
      <c r="K4" s="15"/>
      <c r="L4" s="9"/>
      <c r="M4" s="9"/>
      <c r="N4" s="9"/>
      <c r="O4" s="9"/>
      <c r="P4" s="9"/>
      <c r="S4" s="6"/>
    </row>
    <row r="5" ht="15" customHeight="1" spans="1:19" x14ac:dyDescent="0.25">
      <c r="A5" s="16" t="s">
        <v>7</v>
      </c>
      <c r="B5" s="17"/>
      <c r="C5" s="17"/>
      <c r="D5" s="17"/>
      <c r="E5" s="17"/>
      <c r="F5" s="17"/>
      <c r="G5" s="17"/>
      <c r="H5" s="17"/>
      <c r="I5" s="17"/>
      <c r="J5" s="18"/>
      <c r="K5" s="15"/>
      <c r="L5" s="19" t="s">
        <v>3</v>
      </c>
      <c r="M5" s="20"/>
      <c r="N5" s="21"/>
      <c r="O5" s="22"/>
      <c r="P5" s="22"/>
      <c r="S5" s="6"/>
    </row>
    <row r="6" ht="21.75" customHeight="1" spans="1:19" x14ac:dyDescent="0.25">
      <c r="A6" s="23" t="s">
        <v>8</v>
      </c>
      <c r="B6" s="24" t="s">
        <v>9</v>
      </c>
      <c r="C6" s="25"/>
      <c r="D6" s="25"/>
      <c r="E6" s="26"/>
      <c r="F6" s="27" t="s">
        <v>10</v>
      </c>
      <c r="G6" s="28"/>
      <c r="H6" s="29"/>
      <c r="I6" s="30"/>
      <c r="J6" s="31"/>
      <c r="L6" s="32" t="s">
        <v>11</v>
      </c>
      <c r="M6" s="33"/>
      <c r="N6" s="34" t="s">
        <v>12</v>
      </c>
      <c r="O6" s="35">
        <v>8</v>
      </c>
      <c r="P6" s="36" t="s">
        <v>13</v>
      </c>
      <c r="Q6" s="37">
        <v>6</v>
      </c>
      <c r="S6" s="6"/>
    </row>
    <row r="7" ht="21.75" customHeight="1" spans="1:19" x14ac:dyDescent="0.25">
      <c r="A7" s="38" t="s">
        <v>14</v>
      </c>
      <c r="B7" s="39"/>
      <c r="C7" s="39"/>
      <c r="D7" s="39"/>
      <c r="E7" s="39"/>
      <c r="F7" s="40" t="s">
        <v>15</v>
      </c>
      <c r="G7" s="40"/>
      <c r="H7" s="39"/>
      <c r="I7" s="39"/>
      <c r="J7" s="41"/>
      <c r="L7" s="42"/>
      <c r="M7" s="42"/>
      <c r="N7" s="42"/>
      <c r="O7" s="42"/>
      <c r="P7" s="42"/>
      <c r="S7" s="6"/>
    </row>
    <row r="8" ht="18" customHeight="1" spans="1:19" x14ac:dyDescent="0.25">
      <c r="A8" s="43" t="s">
        <v>16</v>
      </c>
      <c r="B8" s="44" t="s">
        <v>17</v>
      </c>
      <c r="C8" s="45"/>
      <c r="D8" s="46" t="s">
        <v>18</v>
      </c>
      <c r="E8" s="45"/>
      <c r="F8" s="47" t="s">
        <v>19</v>
      </c>
      <c r="G8" s="48" t="s">
        <v>20</v>
      </c>
      <c r="H8" s="48"/>
      <c r="I8" s="48"/>
      <c r="J8" s="49"/>
      <c r="L8" s="21"/>
      <c r="M8" s="21"/>
      <c r="N8" s="21"/>
      <c r="O8" s="21"/>
      <c r="P8" s="21"/>
      <c r="S8" s="6"/>
    </row>
    <row r="9" ht="12" customHeight="1" spans="1:19" x14ac:dyDescent="0.25">
      <c r="A9" s="50"/>
      <c r="B9" s="51" t="s">
        <v>21</v>
      </c>
      <c r="C9" s="52"/>
      <c r="D9" s="52"/>
      <c r="E9" s="52"/>
      <c r="F9" s="52"/>
      <c r="G9" s="52"/>
      <c r="H9" s="52"/>
      <c r="I9" s="52"/>
      <c r="J9" s="53"/>
      <c r="L9" s="54" t="s">
        <v>22</v>
      </c>
      <c r="M9" s="55" t="s">
        <v>23</v>
      </c>
      <c r="N9" s="55" t="s">
        <v>24</v>
      </c>
      <c r="O9" s="55" t="s">
        <v>25</v>
      </c>
      <c r="P9" s="55" t="s">
        <v>26</v>
      </c>
      <c r="Q9" s="56" t="s">
        <v>27</v>
      </c>
      <c r="S9" s="6"/>
    </row>
    <row r="10" ht="30" customHeight="1" spans="1:19" x14ac:dyDescent="0.25">
      <c r="A10" s="57"/>
      <c r="B10" s="58"/>
      <c r="C10" s="17"/>
      <c r="D10" s="17"/>
      <c r="E10" s="17"/>
      <c r="F10" s="17"/>
      <c r="G10" s="17"/>
      <c r="H10" s="17"/>
      <c r="I10" s="17"/>
      <c r="J10" s="18"/>
      <c r="K10" s="59" t="s">
        <v>3</v>
      </c>
      <c r="L10" s="60" t="s">
        <v>28</v>
      </c>
      <c r="M10" s="61">
        <v>48</v>
      </c>
      <c r="N10" s="62">
        <v>1</v>
      </c>
      <c r="O10" s="63">
        <v>4.34</v>
      </c>
      <c r="P10" s="64">
        <f>M10*O10</f>
        <v>208.32</v>
      </c>
      <c r="Q10" s="65">
        <f>P10/P15</f>
        <v>0.7006026689625484</v>
      </c>
      <c r="S10" s="6"/>
    </row>
    <row r="11" ht="19.5" customHeight="1" spans="1:19" x14ac:dyDescent="0.25">
      <c r="A11" s="43" t="s">
        <v>29</v>
      </c>
      <c r="B11" s="66" t="s">
        <v>30</v>
      </c>
      <c r="C11" s="67"/>
      <c r="D11" s="67"/>
      <c r="E11" s="68">
        <f>D24</f>
        <v>175150.6672406371</v>
      </c>
      <c r="F11" s="69" t="s">
        <v>31</v>
      </c>
      <c r="G11" s="70">
        <f>E11/8</f>
        <v>21893.833405079637</v>
      </c>
      <c r="H11" s="71" t="s">
        <v>32</v>
      </c>
      <c r="I11" s="71"/>
      <c r="J11" s="72"/>
      <c r="L11" s="60" t="s">
        <v>33</v>
      </c>
      <c r="M11" s="61">
        <v>9.6</v>
      </c>
      <c r="N11" s="62">
        <v>1</v>
      </c>
      <c r="O11" s="63">
        <v>4.34</v>
      </c>
      <c r="P11" s="64">
        <f>M11*O11</f>
        <v>41.663999999999994</v>
      </c>
      <c r="Q11" s="65">
        <f>P11/P15</f>
        <v>0.14012053379250966</v>
      </c>
      <c r="S11" s="6"/>
    </row>
    <row r="12" ht="17.25" customHeight="1" spans="1:19" x14ac:dyDescent="0.25">
      <c r="A12" s="50"/>
      <c r="B12" s="73" t="s">
        <v>34</v>
      </c>
      <c r="C12" s="74"/>
      <c r="D12" s="74"/>
      <c r="E12" s="74"/>
      <c r="F12" s="74"/>
      <c r="G12" s="74"/>
      <c r="H12" s="74"/>
      <c r="I12" s="74"/>
      <c r="J12" s="75"/>
      <c r="L12" s="60" t="s">
        <v>35</v>
      </c>
      <c r="M12" s="61">
        <v>12</v>
      </c>
      <c r="N12" s="62">
        <v>1</v>
      </c>
      <c r="O12" s="76">
        <v>1</v>
      </c>
      <c r="P12" s="64">
        <f>M12*N12*O12</f>
        <v>12</v>
      </c>
      <c r="Q12" s="65">
        <f>P12/P15</f>
        <v>0.04035729659922514</v>
      </c>
      <c r="R12" s="77"/>
      <c r="S12" s="78"/>
    </row>
    <row r="13" ht="17.25" customHeight="1" spans="1:19" x14ac:dyDescent="0.25">
      <c r="A13" s="50"/>
      <c r="B13" s="73"/>
      <c r="C13" s="74"/>
      <c r="D13" s="74"/>
      <c r="E13" s="74"/>
      <c r="F13" s="74"/>
      <c r="G13" s="74"/>
      <c r="H13" s="74"/>
      <c r="I13" s="74"/>
      <c r="J13" s="75"/>
      <c r="L13" s="60" t="s">
        <v>36</v>
      </c>
      <c r="M13" s="61">
        <v>8</v>
      </c>
      <c r="N13" s="62">
        <v>0.5</v>
      </c>
      <c r="O13" s="63">
        <v>4.34</v>
      </c>
      <c r="P13" s="64">
        <f>M13*N13*O13</f>
        <v>17.36</v>
      </c>
      <c r="Q13" s="79">
        <f>P13/P15</f>
        <v>0.058383555746879034</v>
      </c>
      <c r="S13" s="6"/>
    </row>
    <row r="14" ht="17.25" customHeight="1" spans="1:19" x14ac:dyDescent="0.25">
      <c r="A14" s="50"/>
      <c r="B14" s="73"/>
      <c r="C14" s="74"/>
      <c r="D14" s="74"/>
      <c r="E14" s="74"/>
      <c r="F14" s="74"/>
      <c r="G14" s="74"/>
      <c r="H14" s="74"/>
      <c r="I14" s="74"/>
      <c r="J14" s="75"/>
      <c r="L14" s="60" t="s">
        <v>37</v>
      </c>
      <c r="M14" s="63">
        <v>0</v>
      </c>
      <c r="N14" s="62"/>
      <c r="O14" s="80">
        <v>0</v>
      </c>
      <c r="P14" s="64">
        <v>18</v>
      </c>
      <c r="Q14" s="79">
        <f>P14/P15</f>
        <v>0.060535944898837714</v>
      </c>
      <c r="S14" s="6"/>
    </row>
    <row r="15" ht="13.5" customHeight="1" spans="1:19" x14ac:dyDescent="0.25">
      <c r="A15" s="50"/>
      <c r="B15" s="51" t="s">
        <v>38</v>
      </c>
      <c r="C15" s="52"/>
      <c r="D15" s="52"/>
      <c r="E15" s="52"/>
      <c r="F15" s="52"/>
      <c r="G15" s="52"/>
      <c r="H15" s="52"/>
      <c r="I15" s="52"/>
      <c r="J15" s="53"/>
      <c r="L15" s="81" t="s">
        <v>39</v>
      </c>
      <c r="M15" s="82"/>
      <c r="N15" s="82"/>
      <c r="O15" s="82">
        <v>0</v>
      </c>
      <c r="P15" s="83">
        <f>SUM(P10:P14)</f>
        <v>297.344</v>
      </c>
      <c r="Q15" s="84">
        <f>SUM(Q10:Q14)</f>
        <v>1</v>
      </c>
      <c r="S15" s="6"/>
    </row>
    <row r="16" ht="13.5" customHeight="1" spans="1:19" x14ac:dyDescent="0.25">
      <c r="A16" s="50"/>
      <c r="B16" s="51"/>
      <c r="C16" s="52"/>
      <c r="D16" s="52"/>
      <c r="E16" s="52"/>
      <c r="F16" s="52"/>
      <c r="G16" s="52"/>
      <c r="H16" s="52"/>
      <c r="I16" s="52"/>
      <c r="J16" s="53"/>
      <c r="S16" s="6"/>
    </row>
    <row r="17" ht="21" customHeight="1" spans="1:19" x14ac:dyDescent="0.25">
      <c r="A17" s="50"/>
      <c r="B17" s="51" t="s">
        <v>40</v>
      </c>
      <c r="C17" s="52"/>
      <c r="D17" s="52"/>
      <c r="E17" s="52"/>
      <c r="F17" s="52"/>
      <c r="G17" s="52"/>
      <c r="H17" s="52"/>
      <c r="I17" s="52"/>
      <c r="J17" s="53"/>
      <c r="L17" s="21"/>
      <c r="M17" s="85"/>
      <c r="N17" s="86" t="s">
        <v>41</v>
      </c>
      <c r="O17" s="87"/>
      <c r="P17" s="87"/>
      <c r="Q17" s="88">
        <v>9620</v>
      </c>
      <c r="S17" s="6"/>
    </row>
    <row r="18" ht="15.75" customHeight="1" spans="1:19" x14ac:dyDescent="0.25">
      <c r="A18" s="50"/>
      <c r="B18" s="89" t="s">
        <v>42</v>
      </c>
      <c r="C18" s="90"/>
      <c r="D18" s="90"/>
      <c r="E18" s="90"/>
      <c r="F18" s="90"/>
      <c r="G18" s="91">
        <v>250000</v>
      </c>
      <c r="H18" s="92" t="s">
        <v>43</v>
      </c>
      <c r="I18" s="92"/>
      <c r="J18" s="93"/>
      <c r="L18" s="21"/>
      <c r="M18" s="85"/>
      <c r="P18" s="59"/>
      <c r="S18" s="6"/>
    </row>
    <row r="19" ht="15.75" customHeight="1" spans="1:19" x14ac:dyDescent="0.25">
      <c r="A19" s="50"/>
      <c r="B19" s="94" t="s">
        <v>44</v>
      </c>
      <c r="C19" s="95"/>
      <c r="D19" s="95"/>
      <c r="E19" s="95"/>
      <c r="F19" s="95"/>
      <c r="G19" s="95"/>
      <c r="H19" s="95"/>
      <c r="I19" s="95"/>
      <c r="J19" s="96"/>
      <c r="L19" s="97" t="s">
        <v>45</v>
      </c>
      <c r="M19" s="97"/>
      <c r="N19" s="97"/>
      <c r="O19" s="97"/>
      <c r="P19" s="97"/>
      <c r="Q19" s="98"/>
      <c r="S19" s="6"/>
    </row>
    <row r="20" ht="15.75" customHeight="1" spans="1:19" x14ac:dyDescent="0.25">
      <c r="A20" s="50"/>
      <c r="B20" s="94" t="s">
        <v>46</v>
      </c>
      <c r="C20" s="95"/>
      <c r="D20" s="95"/>
      <c r="E20" s="95"/>
      <c r="F20" s="95"/>
      <c r="G20" s="95"/>
      <c r="H20" s="95"/>
      <c r="I20" s="95"/>
      <c r="J20" s="96"/>
      <c r="L20" s="97" t="s">
        <v>47</v>
      </c>
      <c r="M20" s="97"/>
      <c r="N20" s="97"/>
      <c r="O20" s="97"/>
      <c r="P20" s="97"/>
      <c r="Q20" s="98"/>
      <c r="S20" s="6"/>
    </row>
    <row r="21" ht="15.75" customHeight="1" spans="1:19" x14ac:dyDescent="0.25">
      <c r="A21" s="50"/>
      <c r="B21" s="99" t="s">
        <v>48</v>
      </c>
      <c r="C21" s="100"/>
      <c r="D21" s="100"/>
      <c r="E21" s="100"/>
      <c r="F21" s="100"/>
      <c r="G21" s="100"/>
      <c r="H21" s="100"/>
      <c r="I21" s="100"/>
      <c r="J21" s="101"/>
      <c r="L21" s="97" t="s">
        <v>49</v>
      </c>
      <c r="M21" s="97"/>
      <c r="N21" s="97"/>
      <c r="O21" s="97"/>
      <c r="P21" s="97"/>
      <c r="Q21" s="98"/>
      <c r="S21" s="6"/>
    </row>
    <row r="22" ht="18.75" customHeight="1" spans="1:19" x14ac:dyDescent="0.25">
      <c r="A22" s="102" t="s">
        <v>50</v>
      </c>
      <c r="B22" s="103" t="s">
        <v>51</v>
      </c>
      <c r="C22" s="104"/>
      <c r="D22" s="105" t="s">
        <v>28</v>
      </c>
      <c r="E22" s="105" t="s">
        <v>52</v>
      </c>
      <c r="F22" s="105" t="s">
        <v>35</v>
      </c>
      <c r="G22" s="106" t="s">
        <v>53</v>
      </c>
      <c r="H22" s="107"/>
      <c r="I22" s="106" t="s">
        <v>37</v>
      </c>
      <c r="J22" s="108"/>
      <c r="L22" s="97" t="s">
        <v>54</v>
      </c>
      <c r="M22" s="97"/>
      <c r="N22" s="97"/>
      <c r="O22" s="97"/>
      <c r="P22" s="97"/>
      <c r="Q22" s="98"/>
      <c r="R22" s="97"/>
      <c r="S22" s="1"/>
    </row>
    <row r="23" ht="18.75" customHeight="1" spans="1:19" x14ac:dyDescent="0.25">
      <c r="A23" s="109"/>
      <c r="B23" s="110" t="s">
        <v>55</v>
      </c>
      <c r="C23" s="111"/>
      <c r="D23" s="112">
        <f>Q10</f>
        <v>0.7006026689625484</v>
      </c>
      <c r="E23" s="112">
        <f>Q11</f>
        <v>0.14012053379250966</v>
      </c>
      <c r="F23" s="112">
        <f>Q12</f>
        <v>0.04035729659922514</v>
      </c>
      <c r="G23" s="113">
        <f>Q13</f>
        <v>0.058383555746879034</v>
      </c>
      <c r="H23" s="114"/>
      <c r="I23" s="113">
        <f>Q14</f>
        <v>0.060535944898837714</v>
      </c>
      <c r="J23" s="115"/>
      <c r="L23" s="97"/>
      <c r="M23" s="97"/>
      <c r="N23" s="97"/>
      <c r="O23" s="97"/>
      <c r="P23" s="97"/>
      <c r="Q23" s="97"/>
      <c r="R23" s="97"/>
      <c r="S23" s="1"/>
    </row>
    <row r="24" ht="18.75" customHeight="1" spans="1:19" x14ac:dyDescent="0.25">
      <c r="A24" s="116"/>
      <c r="B24" s="117" t="s">
        <v>56</v>
      </c>
      <c r="C24" s="118">
        <f>G11</f>
        <v>21893.833405079637</v>
      </c>
      <c r="D24" s="119">
        <f>G18*$D$23</f>
        <v>175150.6672406371</v>
      </c>
      <c r="E24" s="119">
        <f>G18*$E$23</f>
        <v>35030.13344812742</v>
      </c>
      <c r="F24" s="119">
        <f>G18*$F$23</f>
        <v>10089.324149806285</v>
      </c>
      <c r="G24" s="120">
        <f>G18*$G$23</f>
        <v>14595.888936719759</v>
      </c>
      <c r="H24" s="121"/>
      <c r="I24" s="122">
        <f>G18*$I$23</f>
        <v>15133.986224709428</v>
      </c>
      <c r="J24" s="123"/>
      <c r="L24" s="97"/>
      <c r="M24" s="97"/>
      <c r="N24" s="97"/>
      <c r="O24" s="97"/>
      <c r="P24" s="97"/>
      <c r="Q24" s="97"/>
      <c r="R24" s="97"/>
      <c r="S24" s="1"/>
    </row>
    <row r="25" ht="54.75" customHeight="1" spans="1:19" x14ac:dyDescent="0.25">
      <c r="A25" s="102" t="s">
        <v>57</v>
      </c>
      <c r="B25" s="124" t="s">
        <v>58</v>
      </c>
      <c r="C25" s="125"/>
      <c r="D25" s="125"/>
      <c r="E25" s="125"/>
      <c r="F25" s="125"/>
      <c r="G25" s="125"/>
      <c r="H25" s="125"/>
      <c r="I25" s="125"/>
      <c r="J25" s="126"/>
      <c r="L25" s="97" t="s">
        <v>3</v>
      </c>
      <c r="M25" s="97"/>
      <c r="N25" s="97"/>
      <c r="O25" s="97"/>
      <c r="P25" s="97"/>
      <c r="Q25" s="98"/>
      <c r="S25" s="1"/>
    </row>
    <row r="26" ht="66.75" customHeight="1" spans="1:19" x14ac:dyDescent="0.25">
      <c r="A26" s="50"/>
      <c r="B26" s="127"/>
      <c r="C26" s="128"/>
      <c r="D26" s="128"/>
      <c r="E26" s="128"/>
      <c r="F26" s="128"/>
      <c r="G26" s="128"/>
      <c r="H26" s="128"/>
      <c r="I26" s="128"/>
      <c r="J26" s="129"/>
      <c r="L26" s="97" t="s">
        <v>3</v>
      </c>
      <c r="M26" s="97"/>
      <c r="N26" s="97"/>
      <c r="O26" s="97"/>
      <c r="P26" s="97"/>
      <c r="Q26" s="98"/>
      <c r="S26" s="1"/>
    </row>
    <row r="27" ht="27.75" customHeight="1" spans="1:19" x14ac:dyDescent="0.25">
      <c r="A27" s="43" t="s">
        <v>59</v>
      </c>
      <c r="B27" s="130" t="s">
        <v>60</v>
      </c>
      <c r="C27" s="131"/>
      <c r="D27" s="131"/>
      <c r="E27" s="131"/>
      <c r="F27" s="131"/>
      <c r="G27" s="131"/>
      <c r="H27" s="131"/>
      <c r="I27" s="131"/>
      <c r="J27" s="132"/>
      <c r="L27" s="6">
        <f>C24*8</f>
        <v>175150.6672406371</v>
      </c>
      <c r="M27" s="133">
        <f>E24*5</f>
        <v>175150.6672406371</v>
      </c>
      <c r="N27" s="97"/>
      <c r="O27" s="133"/>
      <c r="P27" s="134"/>
      <c r="Q27" s="133"/>
      <c r="R27" s="135"/>
      <c r="S27" s="136"/>
    </row>
    <row r="28" ht="27.75" customHeight="1" spans="1:19" x14ac:dyDescent="0.25">
      <c r="A28" s="57"/>
      <c r="B28" s="58"/>
      <c r="C28" s="17"/>
      <c r="D28" s="17"/>
      <c r="E28" s="17"/>
      <c r="F28" s="17"/>
      <c r="G28" s="17"/>
      <c r="H28" s="17"/>
      <c r="I28" s="17"/>
      <c r="J28" s="18"/>
      <c r="L28" s="6"/>
      <c r="M28" s="134"/>
      <c r="R28" s="135"/>
      <c r="S28" s="136"/>
    </row>
    <row r="29" ht="40.5" customHeight="1" spans="1:19" x14ac:dyDescent="0.25">
      <c r="A29" s="43" t="s">
        <v>61</v>
      </c>
      <c r="B29" s="130" t="s">
        <v>62</v>
      </c>
      <c r="C29" s="131"/>
      <c r="D29" s="131"/>
      <c r="E29" s="131"/>
      <c r="F29" s="131"/>
      <c r="G29" s="131"/>
      <c r="H29" s="131"/>
      <c r="I29" s="131"/>
      <c r="J29" s="132"/>
      <c r="L29" s="137" t="s">
        <v>63</v>
      </c>
      <c r="M29" s="137"/>
      <c r="N29" s="137"/>
      <c r="O29" s="137"/>
      <c r="P29" s="137"/>
      <c r="Q29" s="137"/>
      <c r="R29" s="135"/>
      <c r="S29" s="136"/>
    </row>
    <row r="30" ht="23.25" customHeight="1" spans="1:19" x14ac:dyDescent="0.25">
      <c r="A30" s="102" t="s">
        <v>64</v>
      </c>
      <c r="B30" s="130" t="s">
        <v>65</v>
      </c>
      <c r="C30" s="131"/>
      <c r="D30" s="131"/>
      <c r="E30" s="131"/>
      <c r="F30" s="131"/>
      <c r="G30" s="131"/>
      <c r="H30" s="131"/>
      <c r="I30" s="131"/>
      <c r="J30" s="132"/>
      <c r="L30" s="137"/>
      <c r="M30" s="137"/>
      <c r="N30" s="137"/>
      <c r="O30" s="137"/>
      <c r="P30" s="137"/>
      <c r="Q30" s="137"/>
      <c r="R30" s="135"/>
      <c r="S30" s="135"/>
    </row>
    <row r="31" ht="23.25" customHeight="1" spans="1:19" x14ac:dyDescent="0.25">
      <c r="A31" s="109"/>
      <c r="B31" s="51"/>
      <c r="C31" s="52"/>
      <c r="D31" s="52"/>
      <c r="E31" s="52"/>
      <c r="F31" s="52"/>
      <c r="G31" s="52"/>
      <c r="H31" s="52"/>
      <c r="I31" s="52"/>
      <c r="J31" s="53"/>
      <c r="L31" s="137"/>
      <c r="M31" s="137"/>
      <c r="N31" s="137"/>
      <c r="O31" s="137"/>
      <c r="P31" s="137"/>
      <c r="Q31" s="137"/>
      <c r="S31" s="1"/>
    </row>
    <row r="32" ht="23.25" customHeight="1" spans="1:19" x14ac:dyDescent="0.25">
      <c r="A32" s="109"/>
      <c r="B32" s="51"/>
      <c r="C32" s="52"/>
      <c r="D32" s="52"/>
      <c r="E32" s="52"/>
      <c r="F32" s="52"/>
      <c r="G32" s="52"/>
      <c r="H32" s="52"/>
      <c r="I32" s="52"/>
      <c r="J32" s="53"/>
      <c r="L32" s="137"/>
      <c r="M32" s="137"/>
      <c r="N32" s="137"/>
      <c r="O32" s="137"/>
      <c r="P32" s="137"/>
      <c r="Q32" s="137"/>
      <c r="S32" s="1"/>
    </row>
    <row r="33" ht="23.25" customHeight="1" spans="1:19" x14ac:dyDescent="0.25">
      <c r="A33" s="109"/>
      <c r="B33" s="51"/>
      <c r="C33" s="52"/>
      <c r="D33" s="52"/>
      <c r="E33" s="52"/>
      <c r="F33" s="52"/>
      <c r="G33" s="52"/>
      <c r="H33" s="52"/>
      <c r="I33" s="52"/>
      <c r="J33" s="53"/>
      <c r="L33" s="42"/>
      <c r="M33" s="42"/>
      <c r="N33" s="42"/>
      <c r="O33" s="42"/>
      <c r="P33" s="42"/>
      <c r="S33" s="1"/>
    </row>
    <row r="34" ht="23.25" customHeight="1" spans="1:19" x14ac:dyDescent="0.25">
      <c r="A34" s="109"/>
      <c r="B34" s="51"/>
      <c r="C34" s="52"/>
      <c r="D34" s="52"/>
      <c r="E34" s="52"/>
      <c r="F34" s="52"/>
      <c r="G34" s="52"/>
      <c r="H34" s="52"/>
      <c r="I34" s="52"/>
      <c r="J34" s="53"/>
      <c r="L34" s="138"/>
      <c r="M34" s="138"/>
      <c r="N34" s="138"/>
      <c r="O34" s="138"/>
      <c r="P34" s="138"/>
      <c r="Q34" s="139"/>
      <c r="S34" s="1"/>
    </row>
    <row r="35" ht="28.5" customHeight="1" spans="1:19" x14ac:dyDescent="0.25">
      <c r="A35" s="116"/>
      <c r="B35" s="58"/>
      <c r="C35" s="17"/>
      <c r="D35" s="17"/>
      <c r="E35" s="17"/>
      <c r="F35" s="17"/>
      <c r="G35" s="17"/>
      <c r="H35" s="17"/>
      <c r="I35" s="17"/>
      <c r="J35" s="18"/>
      <c r="L35" s="140"/>
      <c r="M35" s="140"/>
      <c r="N35" s="140"/>
      <c r="O35" s="140"/>
      <c r="P35" s="140"/>
      <c r="Q35" s="141"/>
      <c r="S35" s="1"/>
    </row>
    <row r="36" ht="21" customHeight="1" spans="1:19" x14ac:dyDescent="0.25">
      <c r="A36" s="102" t="s">
        <v>66</v>
      </c>
      <c r="B36" s="130" t="s">
        <v>67</v>
      </c>
      <c r="C36" s="131"/>
      <c r="D36" s="131"/>
      <c r="E36" s="131"/>
      <c r="F36" s="131"/>
      <c r="G36" s="131"/>
      <c r="H36" s="131"/>
      <c r="I36" s="131"/>
      <c r="J36" s="132"/>
      <c r="L36" s="142"/>
      <c r="M36" s="142"/>
      <c r="N36" s="142"/>
      <c r="O36" s="142"/>
      <c r="P36" s="142"/>
      <c r="Q36" s="88"/>
      <c r="R36" s="143"/>
      <c r="S36" s="1"/>
    </row>
    <row r="37" ht="19.5" customHeight="1" spans="1:19" x14ac:dyDescent="0.25">
      <c r="A37" s="109"/>
      <c r="B37" s="51"/>
      <c r="C37" s="52"/>
      <c r="D37" s="52"/>
      <c r="E37" s="52"/>
      <c r="F37" s="52"/>
      <c r="G37" s="52"/>
      <c r="H37" s="52"/>
      <c r="I37" s="52"/>
      <c r="J37" s="53"/>
      <c r="L37" s="144"/>
      <c r="M37" s="144"/>
      <c r="N37" s="144"/>
      <c r="O37" s="144"/>
      <c r="P37" s="144"/>
      <c r="Q37" s="145"/>
      <c r="R37" s="146"/>
      <c r="S37" s="1"/>
    </row>
    <row r="38" ht="19.5" customHeight="1" spans="1:19" x14ac:dyDescent="0.25">
      <c r="A38" s="109"/>
      <c r="B38" s="51"/>
      <c r="C38" s="52"/>
      <c r="D38" s="52"/>
      <c r="E38" s="52"/>
      <c r="F38" s="52"/>
      <c r="G38" s="52"/>
      <c r="H38" s="52"/>
      <c r="I38" s="52"/>
      <c r="J38" s="53"/>
      <c r="L38" s="147"/>
      <c r="M38" s="147"/>
      <c r="N38" s="147"/>
      <c r="O38" s="147"/>
      <c r="P38" s="147"/>
      <c r="Q38" s="6"/>
      <c r="R38" s="148"/>
      <c r="S38" s="1"/>
    </row>
    <row r="39" ht="19.5" customHeight="1" spans="1:19" x14ac:dyDescent="0.25">
      <c r="A39" s="109"/>
      <c r="B39" s="51"/>
      <c r="C39" s="52"/>
      <c r="D39" s="52"/>
      <c r="E39" s="52"/>
      <c r="F39" s="52"/>
      <c r="G39" s="52"/>
      <c r="H39" s="52"/>
      <c r="I39" s="52"/>
      <c r="J39" s="53"/>
      <c r="L39" s="147"/>
      <c r="M39" s="147"/>
      <c r="N39" s="147"/>
      <c r="O39" s="147"/>
      <c r="P39" s="147"/>
      <c r="Q39" s="6"/>
      <c r="R39" s="148"/>
      <c r="S39" s="1"/>
    </row>
    <row r="40" ht="19.5" customHeight="1" spans="1:19" x14ac:dyDescent="0.25">
      <c r="A40" s="116"/>
      <c r="B40" s="58"/>
      <c r="C40" s="17"/>
      <c r="D40" s="17"/>
      <c r="E40" s="17"/>
      <c r="F40" s="17"/>
      <c r="G40" s="17"/>
      <c r="H40" s="17"/>
      <c r="I40" s="17"/>
      <c r="J40" s="18"/>
      <c r="L40" s="147"/>
      <c r="M40" s="147"/>
      <c r="N40" s="147"/>
      <c r="O40" s="147"/>
      <c r="P40" s="147"/>
      <c r="Q40" s="6"/>
      <c r="R40" s="148"/>
      <c r="S40" s="1"/>
    </row>
    <row r="41" ht="17.1" customHeight="1" spans="1:19" x14ac:dyDescent="0.25">
      <c r="A41" s="102" t="s">
        <v>68</v>
      </c>
      <c r="B41" s="58" t="s">
        <v>69</v>
      </c>
      <c r="C41" s="17"/>
      <c r="D41" s="17"/>
      <c r="E41" s="17"/>
      <c r="F41" s="17"/>
      <c r="G41" s="17"/>
      <c r="H41" s="17"/>
      <c r="I41" s="17"/>
      <c r="J41" s="18"/>
      <c r="L41" s="147"/>
      <c r="M41" s="147"/>
      <c r="N41" s="147"/>
      <c r="O41" s="147"/>
      <c r="P41" s="147"/>
      <c r="Q41" s="6"/>
      <c r="R41" s="148"/>
      <c r="S41" s="1"/>
    </row>
    <row r="42" ht="19.5" customHeight="1" spans="1:19" x14ac:dyDescent="0.25">
      <c r="A42" s="109"/>
      <c r="B42" s="149" t="s">
        <v>70</v>
      </c>
      <c r="C42" s="150"/>
      <c r="D42" s="149" t="s">
        <v>71</v>
      </c>
      <c r="E42" s="150"/>
      <c r="F42" s="149" t="s">
        <v>72</v>
      </c>
      <c r="G42" s="150"/>
      <c r="H42" s="149" t="s">
        <v>73</v>
      </c>
      <c r="I42" s="150"/>
      <c r="J42" s="151" t="s">
        <v>74</v>
      </c>
      <c r="L42" s="147"/>
      <c r="M42" s="147"/>
      <c r="N42" s="147"/>
      <c r="O42" s="147"/>
      <c r="P42" s="147"/>
      <c r="Q42" s="6"/>
      <c r="R42" s="148"/>
      <c r="S42" s="1"/>
    </row>
    <row r="43" ht="19.5" customHeight="1" spans="1:19" x14ac:dyDescent="0.25">
      <c r="A43" s="109"/>
      <c r="B43" s="152" t="s">
        <v>75</v>
      </c>
      <c r="C43" s="153"/>
      <c r="D43" s="152" t="s">
        <v>75</v>
      </c>
      <c r="E43" s="153"/>
      <c r="F43" s="152" t="s">
        <v>75</v>
      </c>
      <c r="G43" s="153"/>
      <c r="H43" s="152" t="s">
        <v>75</v>
      </c>
      <c r="I43" s="153"/>
      <c r="J43" s="154" t="s">
        <v>75</v>
      </c>
      <c r="L43" s="147"/>
      <c r="M43" s="147"/>
      <c r="N43" s="147"/>
      <c r="O43" s="147"/>
      <c r="P43" s="147"/>
      <c r="Q43" s="6"/>
      <c r="R43" s="148"/>
      <c r="S43" s="1"/>
    </row>
    <row r="44" ht="19.5" customHeight="1" spans="1:19" x14ac:dyDescent="0.25">
      <c r="A44" s="116"/>
      <c r="B44" s="155" t="s">
        <v>76</v>
      </c>
      <c r="C44" s="156"/>
      <c r="D44" s="156"/>
      <c r="E44" s="156"/>
      <c r="F44" s="156"/>
      <c r="G44" s="156"/>
      <c r="H44" s="156"/>
      <c r="I44" s="156"/>
      <c r="J44" s="157"/>
      <c r="L44" s="147"/>
      <c r="M44" s="147"/>
      <c r="N44" s="147"/>
      <c r="O44" s="147"/>
      <c r="P44" s="147"/>
      <c r="Q44" s="6"/>
      <c r="R44" s="148"/>
      <c r="S44" s="1"/>
    </row>
    <row r="45" ht="21" customHeight="1" spans="1:19" x14ac:dyDescent="0.25">
      <c r="A45" s="158" t="s">
        <v>77</v>
      </c>
      <c r="B45" s="159" t="s">
        <v>78</v>
      </c>
      <c r="C45" s="160"/>
      <c r="D45" s="160"/>
      <c r="E45" s="160"/>
      <c r="F45" s="160"/>
      <c r="G45" s="160"/>
      <c r="H45" s="160"/>
      <c r="I45" s="160"/>
      <c r="J45" s="161"/>
      <c r="S45" s="1"/>
    </row>
    <row r="46" ht="19.5" customHeight="1" spans="1:19" x14ac:dyDescent="0.25">
      <c r="A46" s="162" t="s">
        <v>79</v>
      </c>
      <c r="B46" s="163"/>
      <c r="C46" s="163"/>
      <c r="D46" s="163"/>
      <c r="E46" s="163"/>
      <c r="F46" s="163"/>
      <c r="G46" s="163"/>
      <c r="H46" s="163"/>
      <c r="I46" s="163"/>
      <c r="J46" s="164"/>
      <c r="S46" s="6"/>
    </row>
    <row r="47" ht="23.25" customHeight="1" spans="1:19" s="165" customFormat="1" x14ac:dyDescent="0.25">
      <c r="A47" s="166" t="s">
        <v>80</v>
      </c>
      <c r="B47" s="167"/>
      <c r="C47" s="167"/>
      <c r="D47" s="167"/>
      <c r="E47" s="167"/>
      <c r="F47" s="167" t="s">
        <v>81</v>
      </c>
      <c r="G47" s="167"/>
      <c r="H47" s="167"/>
      <c r="I47" s="167"/>
      <c r="J47" s="168"/>
      <c r="S47" s="87"/>
    </row>
    <row r="48" ht="23.25" customHeight="1" spans="1:19" x14ac:dyDescent="0.25">
      <c r="A48" s="169" t="s">
        <v>82</v>
      </c>
      <c r="B48" s="170"/>
      <c r="C48" s="170" t="str">
        <f>A4</f>
        <v>㈜강구토건 대표 이진호</v>
      </c>
      <c r="D48" s="170"/>
      <c r="E48" s="170"/>
      <c r="F48" s="171" t="s">
        <v>83</v>
      </c>
      <c r="G48" s="172" t="s">
        <v>84</v>
      </c>
      <c r="H48" s="172"/>
      <c r="I48" s="172"/>
      <c r="J48" s="173"/>
      <c r="S48" s="6"/>
    </row>
    <row r="49" ht="23.25" customHeight="1" spans="1:19" x14ac:dyDescent="0.25">
      <c r="A49" s="174" t="s">
        <v>85</v>
      </c>
      <c r="B49" s="175"/>
      <c r="C49" s="176" t="s">
        <v>86</v>
      </c>
      <c r="D49" s="176"/>
      <c r="E49" s="176"/>
      <c r="F49" s="177" t="s">
        <v>87</v>
      </c>
      <c r="G49" s="178"/>
      <c r="H49" s="178"/>
      <c r="I49" s="178"/>
      <c r="J49" s="179"/>
      <c r="S49" s="6"/>
    </row>
    <row r="50" ht="23.25" customHeight="1" spans="1:19" x14ac:dyDescent="0.25">
      <c r="A50" s="174" t="s">
        <v>88</v>
      </c>
      <c r="B50" s="175"/>
      <c r="C50" s="180" t="s">
        <v>89</v>
      </c>
      <c r="D50" s="181"/>
      <c r="E50" s="182"/>
      <c r="F50" s="183" t="s">
        <v>90</v>
      </c>
      <c r="G50" s="178"/>
      <c r="H50" s="178"/>
      <c r="I50" s="178"/>
      <c r="J50" s="179"/>
      <c r="S50" s="6"/>
    </row>
    <row r="51" ht="23.25" customHeight="1" spans="1:19" x14ac:dyDescent="0.25">
      <c r="A51" s="184" t="s">
        <v>91</v>
      </c>
      <c r="B51" s="185"/>
      <c r="C51" s="186" t="s">
        <v>92</v>
      </c>
      <c r="D51" s="187"/>
      <c r="E51" s="188"/>
      <c r="F51" s="189" t="s">
        <v>93</v>
      </c>
      <c r="G51" s="190"/>
      <c r="H51" s="190"/>
      <c r="I51" s="190"/>
      <c r="J51" s="191"/>
      <c r="S51" s="6"/>
    </row>
  </sheetData>
  <mergeCells count="85">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B8:C8"/>
    <mergeCell ref="D8:E8"/>
    <mergeCell ref="G8:J8"/>
    <mergeCell ref="A8:A10"/>
    <mergeCell ref="B9:J10"/>
    <mergeCell ref="B11:D11"/>
    <mergeCell ref="H11:J11"/>
    <mergeCell ref="A11:A19"/>
    <mergeCell ref="B12:J14"/>
    <mergeCell ref="R12:S12"/>
    <mergeCell ref="B15:J16"/>
    <mergeCell ref="B17:J17"/>
    <mergeCell ref="B18:F18"/>
    <mergeCell ref="H18:J18"/>
    <mergeCell ref="L17:L18"/>
    <mergeCell ref="M17:M18"/>
    <mergeCell ref="B19:J19"/>
    <mergeCell ref="B20:J20"/>
    <mergeCell ref="B21:J21"/>
    <mergeCell ref="B22:C22"/>
    <mergeCell ref="G22:H22"/>
    <mergeCell ref="I22:J22"/>
    <mergeCell ref="A22:A24"/>
    <mergeCell ref="B23:C23"/>
    <mergeCell ref="G23:H23"/>
    <mergeCell ref="I23:J23"/>
    <mergeCell ref="G24:H24"/>
    <mergeCell ref="I24:J24"/>
    <mergeCell ref="B25:J26"/>
    <mergeCell ref="A25:A26"/>
    <mergeCell ref="B27:J28"/>
    <mergeCell ref="A27:A28"/>
    <mergeCell ref="B29:J29"/>
    <mergeCell ref="L29:Q32"/>
    <mergeCell ref="B30:J35"/>
    <mergeCell ref="A30:A35"/>
    <mergeCell ref="O34:P34"/>
    <mergeCell ref="O35:P35"/>
    <mergeCell ref="B36:J40"/>
    <mergeCell ref="O36:P36"/>
    <mergeCell ref="A36:A40"/>
    <mergeCell ref="O37:P37"/>
    <mergeCell ref="O38:P38"/>
    <mergeCell ref="O40:P40"/>
    <mergeCell ref="A41:A44"/>
    <mergeCell ref="B42:C42"/>
    <mergeCell ref="D42:E42"/>
    <mergeCell ref="F42:G42"/>
    <mergeCell ref="H42:I42"/>
    <mergeCell ref="B43:C43"/>
    <mergeCell ref="D43:E43"/>
    <mergeCell ref="F43:G43"/>
    <mergeCell ref="H43:I43"/>
    <mergeCell ref="B44:J44"/>
    <mergeCell ref="B45:J45"/>
    <mergeCell ref="A46:J46"/>
    <mergeCell ref="A47:E47"/>
    <mergeCell ref="F47:J47"/>
    <mergeCell ref="A48:B48"/>
    <mergeCell ref="C48:E48"/>
    <mergeCell ref="G48:J48"/>
    <mergeCell ref="A49:B49"/>
    <mergeCell ref="C49:E49"/>
    <mergeCell ref="G49:J49"/>
    <mergeCell ref="A50:B50"/>
    <mergeCell ref="C50:E50"/>
    <mergeCell ref="G50:J50"/>
    <mergeCell ref="A51:B51"/>
    <mergeCell ref="C51:E51"/>
    <mergeCell ref="G51:J51"/>
  </mergeCells>
  <pageMargins left="0.7086614173228347" right="0.7086614173228347" top="0.3937007874015748" bottom="0.5905511811023623" header="0.31496062992125984" footer="0.31496062992125984"/>
  <pageSetup paperSize="9" orientation="portrait" horizontalDpi="4294967295" verticalDpi="4294967295" scale="67"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8시간(8hx6)_1월</vt:lpstr>
      <vt:lpstr>8시간(8hx6)_2월</vt:lpstr>
      <vt:lpstr>8시간(8hx6)_3월</vt:lpstr>
      <vt:lpstr>8시간(8hx6)_4월</vt:lpstr>
      <vt:lpstr>8시간(8hx6)_5월</vt:lpstr>
      <vt:lpstr>8시간(8hx6)_6월</vt:lpstr>
      <vt:lpstr>8시간(8hx6)_7월</vt:lpstr>
      <vt:lpstr>8시간(8hx6)_8월</vt:lpstr>
      <vt:lpstr>8시간(8hx6)_9월</vt:lpstr>
      <vt:lpstr>8시간(8hx6)_10월</vt:lpstr>
      <vt:lpstr>8시간(8hx6)_11월</vt:lpstr>
      <vt:lpstr>8시간(8hx6)_12월</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강신의</dc:creator>
  <cp:lastModifiedBy>wf</cp:lastModifiedBy>
  <cp:lastPrinted>2025-05-07T06:53:55Z</cp:lastPrinted>
  <dcterms:created xsi:type="dcterms:W3CDTF">2020-12-28T02:27:46Z</dcterms:created>
  <dcterms:modified xsi:type="dcterms:W3CDTF">2025-06-17T08:16:00Z</dcterms:modified>
</cp:coreProperties>
</file>