
<file path=[Content_Types].xml><?xml version="1.0" encoding="utf-8"?>
<Types xmlns="http://schemas.openxmlformats.org/package/2006/content-types">
  <Default Extension="png" ContentType="image/png"/>
  <Default Extension="wdp" ContentType="image/wdp"/>
  <Default Extension="rels" ContentType="application/vnd.openxmlformats-package.relationships+xml"/>
  <Default Extension="xml" ContentType="application/xml"/>
  <Override PartName="/xl/workbook.xml" ContentType="application/vnd.openxmlformats-officedocument.spreadsheetml.sheet.main+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12.xml" ContentType="application/vnd.openxmlformats-officedocument.spreadsheetml.comment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8.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3.xml" ContentType="application/vnd.openxmlformats-officedocument.spreadsheetml.comments+xml"/>
  <Override PartName="/xl/comments2.xml" ContentType="application/vnd.openxmlformats-officedocument.spreadsheetml.comment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20000" firstSheet="0" activeTab="10"/>
  </bookViews>
  <sheets>
    <sheet sheetId="12" name="8시간(8hx6)_1월" state="visible" r:id="rId4"/>
    <sheet sheetId="11" name="8시간(8hx6)_2월" state="visible" r:id="rId5"/>
    <sheet sheetId="10" name="8시간(8hx6)_3월" state="visible" r:id="rId6"/>
    <sheet sheetId="9" name="8시간(8hx6)_4월" state="visible" r:id="rId7"/>
    <sheet sheetId="8" name="8시간(8hx6)_5월" state="visible" r:id="rId8"/>
    <sheet sheetId="7" name="8시간(8hx6)_6월" state="visible" r:id="rId9"/>
    <sheet sheetId="6" name="8시간(8hx6)_7월" state="visible" r:id="rId10"/>
    <sheet sheetId="5" name="8시간(8hx6)_8월" state="visible" r:id="rId11"/>
    <sheet sheetId="4" name="8시간(8hx6)_9월" state="visible" r:id="rId12"/>
    <sheet sheetId="3" name="8시간(8hx6)_10월" state="visible" r:id="rId13"/>
    <sheet sheetId="2" name="8시간(8hx6)_11월" state="visible" r:id="rId14"/>
    <sheet sheetId="1" name="8시간(8hx6)_12월" state="visible" r:id="rId15"/>
  </sheets>
  <definedNames>
    <definedName name="_xlnm.Print_Area" localSheetId="0">'8시간(8hx6)_1월'!$A1:$J51</definedName>
    <definedName name="_xlnm.Print_Area" localSheetId="1">'8시간(8hx6)_2월'!$A1:$J51</definedName>
    <definedName name="_xlnm.Print_Area" localSheetId="2">'8시간(8hx6)_3월'!$A1:$J51</definedName>
    <definedName name="_xlnm.Print_Area" localSheetId="3">'8시간(8hx6)_4월'!$A1:$J51</definedName>
    <definedName name="_xlnm.Print_Area" localSheetId="4">'8시간(8hx6)_5월'!$A1:$J51</definedName>
    <definedName name="_xlnm.Print_Area" localSheetId="5">'8시간(8hx6)_6월'!$A1:$J51</definedName>
    <definedName name="_xlnm.Print_Area" localSheetId="6">'8시간(8hx6)_7월'!$A1:$J51</definedName>
    <definedName name="_xlnm.Print_Area" localSheetId="7">'8시간(8hx6)_8월'!$A1:$J51</definedName>
    <definedName name="_xlnm.Print_Area" localSheetId="8">'8시간(8hx6)_9월'!$A1:$J51</definedName>
    <definedName name="_xlnm.Print_Area" localSheetId="9">'8시간(8hx6)_10월'!$A1:$J51</definedName>
    <definedName name="_xlnm.Print_Area" localSheetId="10">'8시간(8hx6)_11월'!$A1:$J51</definedName>
    <definedName name="_xlnm.Print_Area" localSheetId="11">'8시간(8hx6)_12월'!$A1:$J51</definedName>
  </definedNames>
  <calcPr calcId="171027"/>
</workbook>
</file>

<file path=xl/comments1.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2.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3.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4.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5.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6.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7.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8.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9.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0.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1.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2.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sharedStrings.xml><?xml version="1.0" encoding="utf-8"?>
<sst xmlns="http://schemas.openxmlformats.org/spreadsheetml/2006/main" count="1257" uniqueCount="159">
  <si>
    <t>2025년 일용</t>
  </si>
  <si>
    <t>근로계약서 작성을 위한 기초 입력사항</t>
  </si>
  <si>
    <t>근 로 계 약 서</t>
  </si>
  <si>
    <t xml:space="preserve"> </t>
  </si>
  <si>
    <t>㈜강구토건 대표 이진호</t>
  </si>
  <si>
    <t xml:space="preserve"> (이하 "갑"이라 한다)과 </t>
  </si>
  <si>
    <t>(이하 ‘을’이라 한다)은  아래와  같이  근로조건을  정하고</t>
  </si>
  <si>
    <t xml:space="preserve">     이를 성실히 이행할 것을 약정한다.</t>
  </si>
  <si>
    <t>근로장소</t>
  </si>
  <si>
    <t>성수동 2가 273-12 업무시설 신축공사</t>
  </si>
  <si>
    <t>직  종</t>
  </si>
  <si>
    <t>일당</t>
  </si>
  <si>
    <t>근로시간</t>
  </si>
  <si>
    <t>근무일/주</t>
  </si>
  <si>
    <t xml:space="preserve">팀단위
공사구간</t>
  </si>
  <si>
    <t>팀장명</t>
  </si>
  <si>
    <t>계약기간</t>
  </si>
  <si>
    <r>
      <t xml:space="preserve"> </t>
    </r>
    <r>
      <rPr>
        <b/>
        <u/>
        <charset val="129"/>
        <color indexed="62"/>
        <family val="3"/>
        <sz val="10"/>
        <rFont val="굴림"/>
      </rPr>
      <t xml:space="preserve"> 2025. 05  . 02  .  ~</t>
    </r>
  </si>
  <si>
    <r>
      <t xml:space="preserve"> </t>
    </r>
    <r>
      <rPr>
        <b/>
        <u/>
        <charset val="129"/>
        <color indexed="62"/>
        <family val="3"/>
        <sz val="10"/>
        <rFont val="굴림"/>
      </rPr>
      <t xml:space="preserve"> 2025 . 05  . 31   .  (1개월)</t>
    </r>
  </si>
  <si>
    <t>해당월 말일</t>
  </si>
  <si>
    <t>로 한다. 근로계약만료시 근로관계는 자동종료된다</t>
  </si>
  <si>
    <t xml:space="preserve">  근로계약기간중이라도 "을"이 담당하는 팀단위 공사구간(                               )의 공사가 종료되거나 공종(업무)이 종료된 때 또는 근로계약해지사유에 해당된 때, 발주청 또는 원청의 사정으로 공사가 중단된 때를 계약만료일로 한다. 현장간의 전출입은  엄격히 금지되며 현장이동이 필요한 경우 계약을 해지(사직)하고 신규채용절차를 밟아야 한다.</t>
  </si>
  <si>
    <t>구분</t>
  </si>
  <si>
    <t>시간/1주</t>
  </si>
  <si>
    <t>환산비율</t>
  </si>
  <si>
    <t>4.34주</t>
  </si>
  <si>
    <t>월환산시간</t>
  </si>
  <si>
    <t>비중</t>
  </si>
  <si>
    <t>기본일당</t>
  </si>
  <si>
    <t>임    금</t>
  </si>
  <si>
    <t xml:space="preserve"> 1.  "을"의 임금은  1일 8시간 기본일급  (</t>
  </si>
  <si>
    <t>)원,   시간급(</t>
  </si>
  <si>
    <t xml:space="preserve">  )원 으로 하고,법정수당은 다음과 </t>
  </si>
  <si>
    <t>주휴수당</t>
  </si>
  <si>
    <r>
      <t xml:space="preserve">      같이 산정 지급 한다. 단, 태업시에는 태업율만큼 임금이 삭감되며, 근무지이탈, 무단출근시, 우천등 천재지변으로 작업을 못한 경우 해당임금은 지급되지 아니한다   ① 연장근로수당 : 시간급×연장근로시간×150%    ② 휴일가산수당 : 시간급×휴일근로시간×50%   ③ 야간근로수당 : 시간급×야간근로시간(22:00-06:00) × 50%  ④ 유급주휴수당 : 전 주간(월~금)만근한 경우 시간급×8h   ⑤ 연차휴가수당 : 1개월(1~말일)간 만근 후,  연차휴가 미사용시 시간급× 8h  ⑤ 국공휴일수당 : 시간급 x 8h</t>
    </r>
    <r>
      <rPr>
        <charset val="129"/>
        <color indexed="30"/>
        <family val="3"/>
        <sz val="10"/>
        <rFont val="굴림"/>
      </rPr>
      <t/>
    </r>
  </si>
  <si>
    <t>국공휴일</t>
  </si>
  <si>
    <t>토일할증</t>
  </si>
  <si>
    <t>연차수당</t>
  </si>
  <si>
    <r>
      <t xml:space="preserve"> 2. 임금은 익월</t>
    </r>
    <r>
      <rPr>
        <u/>
        <charset val="129"/>
        <family val="3"/>
        <sz val="10"/>
        <rFont val="굴림"/>
      </rPr>
      <t xml:space="preserve"> </t>
    </r>
    <r>
      <rPr>
        <b/>
        <u/>
        <charset val="129"/>
        <family val="3"/>
        <sz val="10"/>
        <rFont val="굴림"/>
      </rPr>
      <t>15</t>
    </r>
    <r>
      <rPr>
        <u/>
        <charset val="129"/>
        <family val="3"/>
        <sz val="10"/>
        <rFont val="굴림"/>
      </rPr>
      <t xml:space="preserve">  </t>
    </r>
    <r>
      <rPr>
        <charset val="129"/>
        <family val="3"/>
        <sz val="10"/>
        <rFont val="굴림"/>
      </rPr>
      <t>일에 지급하며, 급여지급시 근로소득세 및 고용보험료, 건강보험료, 국민연금등 제세공과금을   원천 징수한 후 "을"명의의 송금계좌로 직접 지급한다.</t>
    </r>
    <r>
      <rPr>
        <b/>
        <charset val="129"/>
        <color indexed="10"/>
        <family val="3"/>
        <sz val="10"/>
        <rFont val="굴림"/>
      </rPr>
      <t xml:space="preserve"> (급여송금 계좌번호 :                     은행 ,                                                           )  </t>
    </r>
    <r>
      <rPr>
        <charset val="129"/>
        <family val="3"/>
        <sz val="10"/>
        <rFont val="굴림"/>
      </rPr>
      <t xml:space="preserve">                  </t>
    </r>
  </si>
  <si>
    <t>합계</t>
  </si>
  <si>
    <t xml:space="preserve"> 3. 회사는 지정된 시간, 장소에서  "을"에게 식사를 제공한다.  4. 소정근로시간 내 성과목표를 달성한 경우에는 추가공수를 지급할 수 있다.</t>
  </si>
  <si>
    <t>2023년 최저임금</t>
  </si>
  <si>
    <t xml:space="preserve"> 5.“을”의 임금은 위“1항”에 기본일급에 위1항 ①호~⑤호 법정수당이 포함된   일급 ( </t>
  </si>
  <si>
    <t xml:space="preserve">)에 출역공수 ( 월~토 8시간  1공수,  </t>
  </si>
  <si>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</si>
  <si>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t xml:space="preserve">* 본 근로계약서는 열린노무법인에서 작성하여 배포하는 것으로서 </t>
  </si>
  <si>
    <t>6."을"의 임금명세서는 문자메세지 및 전자적 방식에 따라 교부받으며, 명세서 교부 전에 퇴사하면 직접 "갑"의 사무실에서 수령하는 것에 대해서</t>
  </si>
  <si>
    <t xml:space="preserve">  저작권에 등록되어 있으므로 회사에서 사용할 수는 있으나 상업목적으로 </t>
  </si>
  <si>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</si>
  <si>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t xml:space="preserve">  배포할 경우 법적문제가 발생될 수 있습니다 </t>
  </si>
  <si>
    <t xml:space="preserve">임 금
구성내역</t>
  </si>
  <si>
    <t>일급 산정내역</t>
  </si>
  <si>
    <t>유급주휴</t>
  </si>
  <si>
    <t>토.휴일할증</t>
  </si>
  <si>
    <t xml:space="preserve">  회사의 실정이 맞도록 조정하여 사용하시기 바랍니다. </t>
  </si>
  <si>
    <t>산정기준</t>
  </si>
  <si>
    <t>시간급</t>
  </si>
  <si>
    <t xml:space="preserve">근로시간
휴게시간</t>
  </si>
  <si>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color indexed="10"/>
        <family val="3"/>
        <sz val="10"/>
        <rFont val="굴림"/>
      </rPr>
      <t>동의자 성명 :                         (인)</t>
    </r>
  </si>
  <si>
    <t xml:space="preserve">휴일 </t>
  </si>
  <si>
    <t xml:space="preserve"> 1. 근로자의 날(5.1) 전주간(월-금)만근한 경우 일요일(주휴일)은 유급휴일로 부여한다. (유급 주휴수당은 일당에 포함하여  지급한다.포괄임금제 폐지시에는 시간급을 기준으로 산정한다),  휴일에 근로할 경우, 근로자의 동의를 얻어 다음주중 특정일을 정하여 휴일로 대체하거나, 토일을 격주로 휴무할 수 있다.    2. 관공서공휴일(30인이상 사업장 2021.1.1부터 적용) 유급수당은 일당에 포괄 지급을 원칙으로 한다. 관공서공휴일이 휴일 또는 휴무일과 중복되는 경우에는 무급으로 한다.</t>
  </si>
  <si>
    <t>연차휴가</t>
  </si>
  <si>
    <t>1. “갑은 “을”이 1년간 8할 이상 출근시 연차휴가 15일, 1년 미만인 경우 1월간 만근시 1일의 유급휴가를 준다. 연차수당은 연차휴가사용권을 제한하지 아니하는 범위에서 일당에 포괄역산한다. 2. 전항의 연차휴가는 1일전에 신청하여 승인을 득한후에 사용하여야 하며, "갑"은 휴가시기를 변경할 수 있다.</t>
  </si>
  <si>
    <t xml:space="preserve"> &lt;건설일용근로자 포괄임금 업무처`리 지침&gt;
  일정기간 이상 사용이 예정되어 있는 일당제 일용근로자 : 예정되어 있는 근로기간 동안 
  근로할 경우 지급요건을 충족하는 수당(주휴수당, 연장.야간근로수당, 휴일근로수당)은 
  포함가능하나 그렇지 않은 수당은 포함 불가/다만, 연차유급휴가수당은 이를 포괄임금에 
  포함  할 경우 휴가권을 박탈의 문제가 있으므로 포함할 수 없음.&lt;근로개선정책과, ‘11.8.8&gt;</t>
  </si>
  <si>
    <t xml:space="preserve">근로계약    
해지사유
  </t>
  </si>
  <si>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</si>
  <si>
    <t xml:space="preserve">기타근로
조   건</t>
  </si>
  <si>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</si>
  <si>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t>안전보호구 지급확인</t>
  </si>
  <si>
    <t>1. 안전보호구</t>
  </si>
  <si>
    <t>안전모</t>
  </si>
  <si>
    <t>안전화</t>
  </si>
  <si>
    <t>안전벨트</t>
  </si>
  <si>
    <t>각 반</t>
  </si>
  <si>
    <t>안전교육이수여부</t>
  </si>
  <si>
    <t>(인)</t>
  </si>
  <si>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</si>
  <si>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t>교부등 확인</t>
  </si>
  <si>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</si>
  <si>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05    .   02   .</t>
  </si>
  <si>
    <t xml:space="preserve">   사  용  자 ("갑")</t>
  </si>
  <si>
    <t xml:space="preserve"> 근  로  자 ("을")</t>
  </si>
  <si>
    <t>회사명/대표이사</t>
  </si>
  <si>
    <t>성      명</t>
  </si>
  <si>
    <r>
      <rPr>
        <charset val="129"/>
        <family val="3"/>
        <sz val="10"/>
        <rFont val="굴림"/>
      </rPr>
      <t xml:space="preserve">      </t>
    </r>
    <r>
      <rPr>
        <charset val="129"/>
        <color rgb="FFFF0000"/>
        <family val="3"/>
        <sz val="10"/>
        <rFont val="굴림"/>
      </rPr>
      <t xml:space="preserve">                   </t>
    </r>
    <r>
      <rPr>
        <charset val="129"/>
        <color indexed="55"/>
        <family val="3"/>
        <sz val="10"/>
        <rFont val="굴림"/>
      </rPr>
      <t xml:space="preserve"> (서명또는 날인)</t>
    </r>
  </si>
  <si>
    <t>본사주소</t>
  </si>
  <si>
    <t>서울시 마포구 희우정로16 ,8층 (합정동,리버아인)</t>
  </si>
  <si>
    <t>주      소</t>
  </si>
  <si>
    <t>현장주소</t>
  </si>
  <si>
    <t>서울 성수동 2가 273-12</t>
  </si>
  <si>
    <t>주민등록번호</t>
  </si>
  <si>
    <t>현장대리인(현장소장)</t>
  </si>
  <si>
    <t>고 성 수             (인)</t>
  </si>
  <si>
    <t>핸드폰번호</t>
  </si>
  <si>
    <r>
      <t xml:space="preserve"> </t>
    </r>
    <r>
      <rPr>
        <b/>
        <u/>
        <charset val="129"/>
        <color indexed="62"/>
        <family val="3"/>
        <sz val="10"/>
        <rFont val="굴림"/>
      </rPr>
      <t xml:space="preserve"> 2025. 02 . 01 .  ~</t>
    </r>
  </si>
  <si>
    <r>
      <t xml:space="preserve"> </t>
    </r>
    <r>
      <rPr>
        <b/>
        <u/>
        <charset val="129"/>
        <color indexed="62"/>
        <family val="3"/>
        <sz val="10"/>
        <rFont val="굴림"/>
      </rPr>
      <t xml:space="preserve"> 2025 . 02  . 28  .  (1개월)</t>
    </r>
  </si>
  <si>
    <t xml:space="preserve"> 5.“을”의 임금은 위“1항”에 기본일급에 위1항 ①호~⑤호 법정수당이 포함된     일급 ( </t>
  </si>
  <si>
    <r>
      <t xml:space="preserve">    연장 2.5시간 0.5공수)로 산정. 포괄일당 및  임금정책 변경시 시간급으로 산정하는데에 동의한다 </t>
    </r>
    <r>
      <rPr>
        <b/>
        <u/>
        <charset val="129"/>
        <family val="3"/>
        <sz val="10"/>
        <rFont val="굴림"/>
      </rPr>
      <t xml:space="preserve">:  동의자                 (인)  </t>
    </r>
  </si>
  <si>
    <r>
      <rPr>
        <charset val="129"/>
        <family val="3"/>
        <sz val="10"/>
        <rFont val="굴림"/>
      </rPr>
      <t xml:space="preserve">동의한다.  </t>
    </r>
    <r>
      <rPr>
        <b/>
        <charset val="129"/>
        <family val="3"/>
        <sz val="10"/>
        <rFont val="굴림"/>
      </rPr>
      <t xml:space="preserve">                                                                                                        </t>
    </r>
    <r>
      <rPr>
        <b/>
        <u/>
        <charset val="129"/>
        <family val="3"/>
        <sz val="10"/>
        <rFont val="굴림"/>
      </rPr>
      <t xml:space="preserve">동의자                   (인) </t>
    </r>
  </si>
  <si>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family val="3"/>
        <sz val="10"/>
        <rFont val="굴림"/>
      </rPr>
      <t>동의자 성명 :                (인)</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</si>
  <si>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개</t>
    </r>
    <r>
      <rPr>
        <u/>
        <charset val="129"/>
        <family val="3"/>
        <sz val="10"/>
        <rFont val="굴림"/>
      </rPr>
      <t xml:space="preserve">인정보제공 동의자  성명 :                           (인) 
</t>
    </r>
    <r>
      <rPr>
        <charset val="129"/>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동의자 성명 : </t>
    </r>
    <r>
      <rPr>
        <b/>
        <u/>
        <charset val="129"/>
        <family val="3"/>
        <sz val="10"/>
        <rFont val="굴림"/>
      </rPr>
      <t xml:space="preserve">               (인)</t>
    </r>
  </si>
  <si>
    <r>
      <t xml:space="preserve">2. 상기 안전보호구 수령확인 및 근로계약/취업규칙 내용을 확인하고 이행함을 동의합니다.        </t>
    </r>
    <r>
      <rPr>
        <b/>
        <charset val="129"/>
        <family val="3"/>
        <sz val="10"/>
        <rFont val="굴림"/>
      </rPr>
      <t xml:space="preserve">동의자 성명 :  </t>
    </r>
    <r>
      <rPr>
        <b/>
        <u/>
        <charset val="129"/>
        <family val="3"/>
        <sz val="10"/>
        <rFont val="굴림"/>
      </rPr>
      <t xml:space="preserve">              </t>
    </r>
    <r>
      <rPr>
        <b/>
        <charset val="129"/>
        <family val="3"/>
        <sz val="10"/>
        <rFont val="굴림"/>
      </rPr>
      <t>(인)</t>
    </r>
  </si>
  <si>
    <r>
      <t xml:space="preserve"> 상기 근로조건을 확인하였으며, 그외 사항은 현장 취업규칙에 정한바에 따른다.  상기 근로계약서를 정히 교부받았음</t>
    </r>
    <r>
      <rPr>
        <b/>
        <u/>
        <charset val="129"/>
        <family val="3"/>
        <sz val="10"/>
        <rFont val="굴림"/>
      </rPr>
      <t xml:space="preserve">           (인)</t>
    </r>
  </si>
  <si>
    <t>작성일 :    2025  .  02      .        .</t>
  </si>
  <si>
    <r>
      <t xml:space="preserve">                     </t>
    </r>
    <r>
      <rPr>
        <charset val="129"/>
        <color indexed="55"/>
        <family val="3"/>
        <sz val="10"/>
        <rFont val="굴림"/>
      </rPr>
      <t xml:space="preserve"> (서명또는 날인)</t>
    </r>
  </si>
  <si>
    <t xml:space="preserve">                       </t>
  </si>
  <si>
    <r>
      <t xml:space="preserve"> </t>
    </r>
    <r>
      <rPr>
        <b/>
        <u/>
        <charset val="129"/>
        <color indexed="62"/>
        <family val="3"/>
        <sz val="10"/>
        <rFont val="굴림"/>
      </rPr>
      <t xml:space="preserve"> 2025. 03 . 01 .  ~</t>
    </r>
  </si>
  <si>
    <r>
      <t xml:space="preserve"> </t>
    </r>
    <r>
      <rPr>
        <b/>
        <u/>
        <charset val="129"/>
        <color indexed="62"/>
        <family val="3"/>
        <sz val="10"/>
        <rFont val="굴림"/>
      </rPr>
      <t xml:space="preserve"> 2025 . 03  . 31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</si>
  <si>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r>
      <rPr>
        <charset val="129"/>
        <family val="3"/>
        <sz val="10"/>
        <rFont val="굴림"/>
      </rPr>
      <t/>
    </r>
  </si>
  <si>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</si>
  <si>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</si>
  <si>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</si>
  <si>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</si>
  <si>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03     .        .</t>
  </si>
  <si>
    <r>
      <t xml:space="preserve">                                    </t>
    </r>
    <r>
      <rPr>
        <charset val="129"/>
        <color indexed="55"/>
        <family val="3"/>
        <sz val="10"/>
        <rFont val="굴림"/>
      </rPr>
      <t xml:space="preserve"> (서명또는 날인)</t>
    </r>
  </si>
  <si>
    <r>
      <t xml:space="preserve"> </t>
    </r>
    <r>
      <rPr>
        <b/>
        <u/>
        <charset val="129"/>
        <color indexed="62"/>
        <family val="3"/>
        <sz val="10"/>
        <rFont val="굴림"/>
      </rPr>
      <t xml:space="preserve"> 2025. 04 . 01 .  ~</t>
    </r>
  </si>
  <si>
    <r>
      <t xml:space="preserve"> </t>
    </r>
    <r>
      <rPr>
        <b/>
        <u/>
        <charset val="129"/>
        <color indexed="62"/>
        <family val="3"/>
        <sz val="10"/>
        <rFont val="굴림"/>
      </rPr>
      <t xml:space="preserve"> 2025 . 04  . 30  .  (1개월)</t>
    </r>
  </si>
  <si>
    <t>작성일 :    2025  .  04    .        .</t>
  </si>
  <si>
    <r>
      <t xml:space="preserve"> </t>
    </r>
    <r>
      <rPr>
        <b/>
        <u/>
        <charset val="129"/>
        <color indexed="62"/>
        <family val="3"/>
        <sz val="10"/>
        <rFont val="굴림"/>
      </rPr>
      <t xml:space="preserve"> 2025. 05 . 01 .  ~</t>
    </r>
  </si>
  <si>
    <r>
      <t xml:space="preserve"> </t>
    </r>
    <r>
      <rPr>
        <b/>
        <u/>
        <charset val="129"/>
        <color indexed="62"/>
        <family val="3"/>
        <sz val="10"/>
        <rFont val="굴림"/>
      </rPr>
      <t xml:space="preserve"> 2025 . 05  . 31  .  (1개월)</t>
    </r>
  </si>
  <si>
    <t>작성일 :    2025  .  05    .        .</t>
  </si>
  <si>
    <t xml:space="preserve">                                     (서명또는 날인)</t>
  </si>
  <si>
    <t xml:space="preserve">      '(인)</t>
  </si>
  <si>
    <r>
      <t xml:space="preserve"> </t>
    </r>
    <r>
      <rPr>
        <b/>
        <u/>
        <charset val="129"/>
        <color indexed="62"/>
        <family val="3"/>
        <sz val="10"/>
        <rFont val="굴림"/>
      </rPr>
      <t xml:space="preserve"> 2025. 06 . 01 .  ~</t>
    </r>
  </si>
  <si>
    <r>
      <t xml:space="preserve"> </t>
    </r>
    <r>
      <rPr>
        <b/>
        <u/>
        <charset val="129"/>
        <color indexed="62"/>
        <family val="3"/>
        <sz val="10"/>
        <rFont val="굴림"/>
      </rPr>
      <t xml:space="preserve"> 2025 . 06  . 30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</si>
  <si>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</si>
  <si>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t>작성일 :    2025  . 06    .        .</t>
  </si>
  <si>
    <t>직영</t>
  </si>
  <si>
    <r>
      <t xml:space="preserve"> </t>
    </r>
    <r>
      <rPr>
        <b/>
        <u/>
        <charset val="129"/>
        <color indexed="62"/>
        <family val="3"/>
        <sz val="10"/>
        <rFont val="굴림"/>
      </rPr>
      <t xml:space="preserve"> 2025. 07 . 01 .  ~</t>
    </r>
  </si>
  <si>
    <r>
      <t xml:space="preserve"> </t>
    </r>
    <r>
      <rPr>
        <b/>
        <u/>
        <charset val="129"/>
        <color indexed="62"/>
        <family val="3"/>
        <sz val="10"/>
        <rFont val="굴림"/>
      </rPr>
      <t xml:space="preserve"> 2025 . 07  . 31  .  (1개월)</t>
    </r>
  </si>
  <si>
    <t>작성일 :    2025  .   07     .        .</t>
  </si>
  <si>
    <t xml:space="preserve">    '(인)</t>
  </si>
  <si>
    <r>
      <t xml:space="preserve"> </t>
    </r>
    <r>
      <rPr>
        <b/>
        <u/>
        <charset val="129"/>
        <color indexed="62"/>
        <family val="3"/>
        <sz val="10"/>
        <rFont val="굴림"/>
      </rPr>
      <t xml:space="preserve"> 2025. 08 . 01 .  ~</t>
    </r>
  </si>
  <si>
    <r>
      <t xml:space="preserve"> </t>
    </r>
    <r>
      <rPr>
        <b/>
        <u/>
        <charset val="129"/>
        <color indexed="62"/>
        <family val="3"/>
        <sz val="10"/>
        <rFont val="굴림"/>
      </rPr>
      <t xml:space="preserve"> 2025 . 08  . 31  .  (1개월)</t>
    </r>
  </si>
  <si>
    <t>작성일 :    2025  .  08     .        .</t>
  </si>
  <si>
    <t xml:space="preserve">           (서명또는 날인)</t>
  </si>
  <si>
    <t xml:space="preserve">        '(인)</t>
  </si>
  <si>
    <r>
      <t xml:space="preserve"> </t>
    </r>
    <r>
      <rPr>
        <b/>
        <u/>
        <charset val="129"/>
        <color indexed="62"/>
        <family val="3"/>
        <sz val="10"/>
        <rFont val="굴림"/>
      </rPr>
      <t xml:space="preserve"> 2025. 09 . 01 .  ~</t>
    </r>
  </si>
  <si>
    <r>
      <t xml:space="preserve"> </t>
    </r>
    <r>
      <rPr>
        <b/>
        <u/>
        <charset val="129"/>
        <color indexed="62"/>
        <family val="3"/>
        <sz val="10"/>
        <rFont val="굴림"/>
      </rPr>
      <t xml:space="preserve"> 2025 . 09  . 30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</si>
  <si>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</si>
  <si>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</si>
  <si>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color indexed="10"/>
        <family val="3"/>
        <sz val="10"/>
        <rFont val="굴림"/>
      </rPr>
      <t>동의자 성명 :                      (인)</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</si>
  <si>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</si>
  <si>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</si>
  <si>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</si>
  <si>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09    .        .</t>
  </si>
  <si>
    <r>
      <rPr>
        <charset val="129"/>
        <color theme="1"/>
        <family val="3"/>
        <sz val="10"/>
        <rFont val="굴림"/>
      </rPr>
      <t xml:space="preserve">   </t>
    </r>
    <r>
      <rPr>
        <charset val="129"/>
        <color rgb="FFFF0000"/>
        <family val="3"/>
        <sz val="10"/>
        <rFont val="굴림"/>
      </rPr>
      <t xml:space="preserve">                      </t>
    </r>
    <r>
      <rPr>
        <charset val="129"/>
        <color indexed="55"/>
        <family val="3"/>
        <sz val="10"/>
        <rFont val="굴림"/>
      </rPr>
      <t xml:space="preserve"> (서명또는 날인)</t>
    </r>
  </si>
  <si>
    <t xml:space="preserve">            '(인)</t>
  </si>
  <si>
    <r>
      <t xml:space="preserve"> </t>
    </r>
    <r>
      <rPr>
        <b/>
        <u/>
        <charset val="129"/>
        <color indexed="62"/>
        <family val="3"/>
        <sz val="10"/>
        <rFont val="굴림"/>
      </rPr>
      <t xml:space="preserve"> 2025. 10 . 01 .  ~</t>
    </r>
  </si>
  <si>
    <r>
      <t xml:space="preserve"> </t>
    </r>
    <r>
      <rPr>
        <b/>
        <u/>
        <charset val="129"/>
        <color indexed="62"/>
        <family val="3"/>
        <sz val="10"/>
        <rFont val="굴림"/>
      </rPr>
      <t xml:space="preserve"> 2025 . 10  . 31  .  (1개월)</t>
    </r>
  </si>
  <si>
    <t>작성일 :    2025  .  10     .        .</t>
  </si>
  <si>
    <r>
      <t xml:space="preserve"> </t>
    </r>
    <r>
      <rPr>
        <b/>
        <u/>
        <charset val="129"/>
        <color indexed="62"/>
        <family val="3"/>
        <sz val="10"/>
        <rFont val="굴림"/>
      </rPr>
      <t xml:space="preserve"> 2025. 11 . 01 .  ~</t>
    </r>
  </si>
  <si>
    <r>
      <t xml:space="preserve"> </t>
    </r>
    <r>
      <rPr>
        <b/>
        <u/>
        <charset val="129"/>
        <color indexed="62"/>
        <family val="3"/>
        <sz val="10"/>
        <rFont val="굴림"/>
      </rPr>
      <t xml:space="preserve"> 2025 . 11  . 30  .  (1개월)</t>
    </r>
  </si>
  <si>
    <t>작성일 :    2025  .  11     .        .</t>
  </si>
  <si>
    <r>
      <t xml:space="preserve"> </t>
    </r>
    <r>
      <rPr>
        <b/>
        <u/>
        <charset val="129"/>
        <color indexed="62"/>
        <family val="3"/>
        <sz val="10"/>
        <rFont val="굴림"/>
      </rPr>
      <t xml:space="preserve"> 2025. 12 . 01 .  ~</t>
    </r>
  </si>
  <si>
    <r>
      <t xml:space="preserve"> </t>
    </r>
    <r>
      <rPr>
        <b/>
        <u/>
        <charset val="129"/>
        <color indexed="62"/>
        <family val="3"/>
        <sz val="10"/>
        <rFont val="굴림"/>
      </rPr>
      <t xml:space="preserve"> 2025 . 12  . 31  .  (1개월)</t>
    </r>
  </si>
  <si>
    <t>작성일 :    2025  .  12     .        .</t>
  </si>
  <si>
    <t xml:space="preserve">                                           (서명또는 날인)</t>
  </si>
  <si>
    <t xml:space="preserve">  '(인)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</si>
</sst>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_-;-* #,##0_-;_-* &quot;-&quot;_-;_-@_-"/>
    <numFmt numFmtId="165" formatCode="&quot;₩&quot;#,##0_);[Red](&quot;₩&quot;#,##0)"/>
    <numFmt numFmtId="166" formatCode="_-* #,##0.00_-;-* #,##0.00_-;_-* &quot;-&quot;_-;_-@_-"/>
    <numFmt numFmtId="167" formatCode="0.00_ "/>
    <numFmt numFmtId="168" formatCode="_-&quot;₩&quot;* #,##0_-;-&quot;₩&quot;* #,##0_-;_-&quot;₩&quot;* &quot;-&quot;_-;_-@_-"/>
    <numFmt numFmtId="169" formatCode="&quot;₩&quot;#,##0"/>
    <numFmt numFmtId="170" formatCode="&quot;₩&quot;#,##0.00_);[Red](&quot;₩&quot;#,##0.00)"/>
  </numFmts>
  <fonts count="35" x14ac:knownFonts="1">
    <font>
      <color theme="1"/>
      <family val="2"/>
      <scheme val="minor"/>
      <sz val="11"/>
      <name val="Calibri"/>
    </font>
    <font>
      <charset val="129"/>
      <family val="3"/>
      <sz val="11"/>
      <name val="돋움"/>
    </font>
    <font>
      <charset val="129"/>
      <color theme="1"/>
      <family val="2"/>
      <scheme val="minor"/>
      <sz val="11"/>
      <name val="맑은 고딕"/>
    </font>
    <font>
      <b/>
      <charset val="129"/>
      <family val="3"/>
      <sz val="10"/>
      <name val="굴림체"/>
    </font>
    <font>
      <charset val="129"/>
      <family val="3"/>
      <sz val="10"/>
      <name val="굴림체"/>
    </font>
    <font>
      <b/>
      <charset val="129"/>
      <family val="3"/>
      <scheme val="major"/>
      <sz val="16"/>
      <name val="맑은 고딕"/>
    </font>
    <font>
      <charset val="129"/>
      <color theme="1"/>
      <family val="1"/>
      <sz val="26"/>
      <name val="HY헤드라인M"/>
    </font>
    <font>
      <charset val="129"/>
      <family val="1"/>
      <sz val="16"/>
      <name val="HY울릉도M"/>
    </font>
    <font>
      <b/>
      <charset val="129"/>
      <color theme="5" tint="-0.249977111117893"/>
      <family val="3"/>
      <scheme val="major"/>
      <sz val="16"/>
      <name val="맑은 고딕"/>
    </font>
    <font>
      <b/>
      <u/>
      <charset val="129"/>
      <family val="3"/>
      <sz val="10"/>
      <name val="굴림"/>
    </font>
    <font>
      <charset val="129"/>
      <family val="3"/>
      <sz val="10"/>
      <name val="굴림"/>
    </font>
    <font>
      <charset val="129"/>
      <color theme="1"/>
      <family val="3"/>
      <sz val="11"/>
      <name val="굴림"/>
    </font>
    <font>
      <b/>
      <charset val="129"/>
      <family val="3"/>
      <scheme val="major"/>
      <sz val="11"/>
      <name val="맑은 고딕"/>
    </font>
    <font>
      <b/>
      <charset val="129"/>
      <color theme="1"/>
      <family val="3"/>
      <scheme val="major"/>
      <sz val="11"/>
      <name val="맑은 고딕"/>
    </font>
    <font>
      <b/>
      <charset val="129"/>
      <family val="3"/>
      <sz val="10"/>
      <name val="굴림"/>
    </font>
    <font>
      <b/>
      <charset val="129"/>
      <family val="3"/>
      <sz val="11"/>
      <name val="돋움"/>
    </font>
    <font>
      <b/>
      <charset val="129"/>
      <family val="3"/>
      <sz val="9"/>
      <name val="굴림"/>
    </font>
    <font>
      <charset val="129"/>
      <color theme="1"/>
      <family val="3"/>
      <scheme val="major"/>
      <sz val="11"/>
      <name val="맑은 고딕"/>
    </font>
    <font>
      <charset val="129"/>
      <family val="3"/>
      <scheme val="minor"/>
      <sz val="10"/>
      <name val="맑은 고딕"/>
    </font>
    <font>
      <b/>
      <charset val="129"/>
      <color rgb="FFFF0000"/>
      <family val="3"/>
      <sz val="11"/>
      <name val="돋움"/>
    </font>
    <font>
      <b/>
      <charset val="129"/>
      <color rgb="FFFF0000"/>
      <family val="3"/>
      <sz val="10"/>
      <name val="굴림"/>
    </font>
    <font>
      <b/>
      <charset val="129"/>
      <color theme="1"/>
      <family val="3"/>
      <scheme val="major"/>
      <sz val="10"/>
      <name val="맑은 고딕"/>
    </font>
    <font>
      <b/>
      <charset val="129"/>
      <color rgb="FF0070C0"/>
      <family val="3"/>
      <sz val="11"/>
      <name val="돋움"/>
    </font>
    <font>
      <b/>
      <charset val="129"/>
      <color rgb="FF0070C0"/>
      <family val="1"/>
      <sz val="11"/>
      <name val="HY강B"/>
    </font>
    <font>
      <b/>
      <u/>
      <charset val="129"/>
      <color rgb="FFFF0000"/>
      <family val="3"/>
      <sz val="10"/>
      <name val="굴림"/>
    </font>
    <font>
      <charset val="129"/>
      <color theme="1"/>
      <family val="3"/>
      <sz val="10"/>
      <name val="굴림"/>
    </font>
    <font>
      <charset val="129"/>
      <color rgb="FFFF0000"/>
      <family val="3"/>
      <scheme val="minor"/>
      <sz val="10"/>
      <name val="맑은 고딕"/>
    </font>
    <font>
      <b/>
      <charset val="129"/>
      <color rgb="FF0070C0"/>
      <family val="3"/>
      <sz val="10"/>
      <name val="굴림"/>
    </font>
    <font>
      <charset val="129"/>
      <family val="3"/>
      <sz val="8"/>
      <name val="굴림"/>
    </font>
    <font>
      <charset val="129"/>
      <color theme="2" tint="-0.0999786370433668"/>
      <family val="3"/>
      <sz val="10"/>
      <name val="굴림"/>
    </font>
    <font>
      <charset val="129"/>
      <color theme="0"/>
      <family val="3"/>
      <sz val="10"/>
      <name val="굴림"/>
    </font>
    <font>
      <charset val="129"/>
      <color rgb="FFFF0000"/>
      <family val="3"/>
      <sz val="10"/>
      <name val="굴림"/>
    </font>
    <font>
      <charset val="129"/>
      <color rgb="FF000000"/>
      <family val="3"/>
      <sz val="10"/>
      <name val="굴림체"/>
    </font>
    <font>
      <charset val="129"/>
      <color theme="1"/>
      <family val="3"/>
      <sz val="10"/>
      <name val="굴림체"/>
    </font>
    <font>
      <b/>
      <charset val="129"/>
      <color rgb="FFFF0000"/>
      <family val="3"/>
      <sz val="10"/>
      <name val="굴림체"/>
    </font>
  </fonts>
  <fills count="8">
    <fill>
      <patternFill patternType="none"/>
    </fill>
    <fill>
      <patternFill patternType="gray125"/>
    </fill>
    <fill>
      <patternFill patternType="solid">
        <fgColor rgb="FFFFFF99"/>
        <bgColor indexed="64"/>
      </patternFill>
    </fill>
    <fill>
      <patternFill patternType="solid">
        <fgColor theme="8" tint="0.7999816888943144"/>
        <bgColor indexed="64"/>
      </patternFill>
    </fill>
    <fill>
      <patternFill patternType="solid">
        <fgColor theme="2" tint="-0.0999786370433668"/>
        <bgColor indexed="64"/>
      </patternFill>
    </fill>
    <fill>
      <patternFill patternType="solid">
        <fgColor rgb="FFFFFF00"/>
        <bgColor indexed="64"/>
      </patternFill>
    </fill>
    <fill>
      <patternFill patternType="solid">
        <fgColor theme="0"/>
        <bgColor indexed="64"/>
      </patternFill>
    </fill>
    <fill>
      <patternFill patternType="solid">
        <fgColor theme="0" tint="-0.0499893185216834"/>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hair">
        <color indexed="64"/>
      </left>
      <right style="medium">
        <color indexed="64"/>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s>
  <cellStyleXfs count="1">
    <xf numFmtId="0" fontId="0" fillId="0" borderId="0"/>
  </cellStyleXfs>
  <cellXfs count="209">
    <xf numFmtId="0" fontId="0" fillId="0" borderId="0" xfId="0"/>
    <xf numFmtId="0" fontId="1" fillId="0" borderId="0" xfId="0" applyFont="1" applyAlignment="1">
      <alignment vertical="center"/>
    </xf>
    <xf numFmtId="164" fontId="2" fillId="0" borderId="0" xfId="0" applyNumberFormat="1" applyFont="1" applyAlignment="1">
      <alignment vertical="center"/>
    </xf>
    <xf numFmtId="0" fontId="3" fillId="0" borderId="0" xfId="0" applyFont="1" applyAlignment="1">
      <alignment horizontal="left" vertical="center" wrapText="1"/>
    </xf>
    <xf numFmtId="0" fontId="4" fillId="0" borderId="0" xfId="0" applyFont="1" applyAlignment="1">
      <alignment vertical="center"/>
    </xf>
    <xf numFmtId="0" fontId="5" fillId="0" borderId="0" xfId="0" applyFont="1" applyAlignment="1">
      <alignment horizontal="center" vertical="center"/>
    </xf>
    <xf numFmtId="164" fontId="1" fillId="0" borderId="0" xfId="0" applyNumberFormat="1" applyFont="1" applyAlignment="1">
      <alignment vertical="center"/>
    </xf>
    <xf numFmtId="0" fontId="6" fillId="0" borderId="0" xfId="0" applyFont="1" applyAlignment="1">
      <alignment horizontal="center" vertical="center" shrinkToFit="1"/>
    </xf>
    <xf numFmtId="0" fontId="7" fillId="0" borderId="0" xfId="0" applyFont="1" applyAlignment="1">
      <alignment vertical="center"/>
    </xf>
    <xf numFmtId="0" fontId="8"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2" borderId="2" xfId="0" applyFont="1" applyFill="1" applyBorder="1" applyAlignment="1">
      <alignment horizontal="center" vertical="center"/>
    </xf>
    <xf numFmtId="0" fontId="10" fillId="0" borderId="3" xfId="0" applyFont="1" applyBorder="1" applyAlignment="1">
      <alignment horizontal="center" vertical="center" wrapText="1"/>
    </xf>
    <xf numFmtId="0" fontId="11" fillId="0" borderId="0" xfId="0" applyFont="1" applyAlignment="1">
      <alignment vertical="center"/>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2" fillId="0" borderId="0" xfId="0" applyFont="1" applyAlignment="1">
      <alignment horizontal="left" vertical="center"/>
    </xf>
    <xf numFmtId="165" fontId="13" fillId="0" borderId="0" xfId="0" applyNumberFormat="1" applyFont="1" applyAlignment="1">
      <alignment horizontal="center" vertical="center"/>
    </xf>
    <xf numFmtId="0" fontId="13" fillId="0" borderId="0" xfId="0" applyFont="1" applyAlignment="1">
      <alignment horizontal="center" vertical="center"/>
    </xf>
    <xf numFmtId="165" fontId="12" fillId="0" borderId="0" xfId="0" applyNumberFormat="1" applyFont="1" applyAlignment="1">
      <alignment horizontal="center" vertical="center"/>
    </xf>
    <xf numFmtId="0" fontId="14" fillId="3" borderId="7" xfId="0" applyFont="1" applyFill="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3" borderId="8" xfId="0" applyFont="1" applyFill="1" applyBorder="1" applyAlignment="1">
      <alignment horizontal="center" vertical="center"/>
    </xf>
    <xf numFmtId="0" fontId="10" fillId="3" borderId="10" xfId="0" applyFont="1" applyFill="1" applyBorder="1" applyAlignment="1">
      <alignment horizontal="center" vertical="center"/>
    </xf>
    <xf numFmtId="0" fontId="10" fillId="0" borderId="8" xfId="0" applyFont="1" applyBorder="1" applyAlignment="1">
      <alignment horizontal="center" vertical="center" shrinkToFit="1"/>
    </xf>
    <xf numFmtId="0" fontId="10" fillId="0" borderId="9" xfId="0" applyFont="1" applyBorder="1" applyAlignment="1">
      <alignment horizontal="center" vertical="center" shrinkToFit="1"/>
    </xf>
    <xf numFmtId="0" fontId="10" fillId="0" borderId="11" xfId="0" applyFont="1" applyBorder="1" applyAlignment="1">
      <alignment horizontal="center" vertical="center" shrinkToFit="1"/>
    </xf>
    <xf numFmtId="0" fontId="12" fillId="4" borderId="12" xfId="0" applyFont="1" applyFill="1" applyBorder="1" applyAlignment="1">
      <alignment horizontal="center" vertical="center"/>
    </xf>
    <xf numFmtId="165" fontId="13" fillId="5" borderId="13" xfId="0" applyNumberFormat="1" applyFont="1" applyFill="1" applyBorder="1" applyAlignment="1">
      <alignment horizontal="center" vertical="center"/>
    </xf>
    <xf numFmtId="0" fontId="13" fillId="4" borderId="13" xfId="0" applyFont="1" applyFill="1" applyBorder="1" applyAlignment="1">
      <alignment horizontal="center" vertical="center"/>
    </xf>
    <xf numFmtId="0" fontId="12" fillId="5" borderId="13" xfId="0" applyFont="1" applyFill="1" applyBorder="1" applyAlignment="1">
      <alignment horizontal="center" vertical="center"/>
    </xf>
    <xf numFmtId="0" fontId="12" fillId="4" borderId="13" xfId="0" applyFont="1" applyFill="1" applyBorder="1" applyAlignment="1">
      <alignment horizontal="center" vertical="center"/>
    </xf>
    <xf numFmtId="0" fontId="15" fillId="5" borderId="14" xfId="0" applyFont="1" applyFill="1" applyBorder="1" applyAlignment="1">
      <alignment horizontal="center" vertical="center"/>
    </xf>
    <xf numFmtId="0" fontId="16" fillId="3" borderId="15" xfId="0" applyFont="1" applyFill="1" applyBorder="1" applyAlignment="1">
      <alignment horizontal="center" vertical="center" wrapText="1"/>
    </xf>
    <xf numFmtId="0" fontId="10" fillId="0" borderId="16" xfId="0" applyFont="1" applyBorder="1" applyAlignment="1">
      <alignment horizontal="center" vertical="center"/>
    </xf>
    <xf numFmtId="0" fontId="10" fillId="3" borderId="16" xfId="0" applyFont="1" applyFill="1" applyBorder="1" applyAlignment="1">
      <alignment horizontal="center" vertical="center"/>
    </xf>
    <xf numFmtId="0" fontId="10" fillId="0" borderId="17" xfId="0" applyFont="1" applyBorder="1" applyAlignment="1">
      <alignment horizontal="center" vertical="center"/>
    </xf>
    <xf numFmtId="0" fontId="17" fillId="0" borderId="0" xfId="0" applyFont="1" applyAlignment="1">
      <alignment horizontal="center" vertical="center"/>
    </xf>
    <xf numFmtId="0" fontId="14" fillId="3" borderId="15" xfId="0" applyFont="1" applyFill="1" applyBorder="1" applyAlignment="1">
      <alignment horizontal="center" vertical="center"/>
    </xf>
    <xf numFmtId="0" fontId="14" fillId="6" borderId="18" xfId="0" applyFont="1" applyFill="1" applyBorder="1" applyAlignment="1">
      <alignment horizontal="center" vertical="top" wrapText="1"/>
    </xf>
    <xf numFmtId="0" fontId="9" fillId="6" borderId="19" xfId="0" applyFont="1" applyFill="1" applyBorder="1" applyAlignment="1">
      <alignment horizontal="center" vertical="top" wrapText="1"/>
    </xf>
    <xf numFmtId="0" fontId="14" fillId="6" borderId="19" xfId="0" applyFont="1" applyFill="1" applyBorder="1" applyAlignment="1">
      <alignment horizontal="center" vertical="top" wrapText="1"/>
    </xf>
    <xf numFmtId="0" fontId="14" fillId="0" borderId="19" xfId="0" applyFont="1" applyBorder="1" applyAlignment="1">
      <alignment vertical="center" wrapText="1"/>
    </xf>
    <xf numFmtId="0" fontId="18" fillId="0" borderId="19" xfId="0" applyFont="1" applyBorder="1" applyAlignment="1">
      <alignment horizontal="left" vertical="center"/>
    </xf>
    <xf numFmtId="0" fontId="18" fillId="0" borderId="20" xfId="0" applyFont="1" applyBorder="1" applyAlignment="1">
      <alignment horizontal="left" vertical="center"/>
    </xf>
    <xf numFmtId="0" fontId="14" fillId="3" borderId="21" xfId="0" applyFont="1" applyFill="1" applyBorder="1" applyAlignment="1">
      <alignment horizontal="center" vertical="center"/>
    </xf>
    <xf numFmtId="0" fontId="10" fillId="0" borderId="22" xfId="0" applyFont="1" applyBorder="1" applyAlignment="1">
      <alignment horizontal="left" vertical="center" wrapText="1"/>
    </xf>
    <xf numFmtId="0" fontId="10" fillId="0" borderId="0" xfId="0" applyFont="1" applyAlignment="1">
      <alignment horizontal="left" vertical="center" wrapText="1"/>
    </xf>
    <xf numFmtId="0" fontId="10" fillId="0" borderId="23" xfId="0" applyFont="1" applyBorder="1" applyAlignment="1">
      <alignment horizontal="left" vertical="center" wrapText="1"/>
    </xf>
    <xf numFmtId="0" fontId="15" fillId="3" borderId="24" xfId="0" applyFont="1" applyFill="1" applyBorder="1" applyAlignment="1">
      <alignment horizontal="center" vertical="center"/>
    </xf>
    <xf numFmtId="0" fontId="15" fillId="3" borderId="25" xfId="0" applyFont="1" applyFill="1" applyBorder="1" applyAlignment="1">
      <alignment horizontal="center" vertical="center"/>
    </xf>
    <xf numFmtId="10" fontId="15" fillId="3" borderId="26" xfId="0" applyNumberFormat="1" applyFont="1" applyFill="1" applyBorder="1" applyAlignment="1">
      <alignment horizontal="center" vertical="center"/>
    </xf>
    <xf numFmtId="0" fontId="14" fillId="3" borderId="27" xfId="0" applyFont="1" applyFill="1" applyBorder="1" applyAlignment="1">
      <alignment horizontal="center" vertical="center"/>
    </xf>
    <xf numFmtId="0" fontId="10" fillId="0" borderId="28" xfId="0" applyFont="1" applyBorder="1" applyAlignment="1">
      <alignment horizontal="left" vertical="center" wrapText="1"/>
    </xf>
    <xf numFmtId="10" fontId="2" fillId="0" borderId="0" xfId="0" applyNumberFormat="1" applyFont="1" applyAlignment="1">
      <alignment vertical="center"/>
    </xf>
    <xf numFmtId="0" fontId="15" fillId="0" borderId="7" xfId="0" applyFont="1" applyBorder="1" applyAlignment="1">
      <alignment horizontal="center" vertical="center"/>
    </xf>
    <xf numFmtId="0" fontId="19" fillId="0" borderId="16" xfId="0" applyFont="1" applyBorder="1" applyAlignment="1">
      <alignment vertical="center"/>
    </xf>
    <xf numFmtId="9" fontId="1" fillId="0" borderId="16" xfId="0" applyNumberFormat="1" applyFont="1" applyBorder="1" applyAlignment="1">
      <alignment vertical="center"/>
    </xf>
    <xf numFmtId="0" fontId="1" fillId="0" borderId="16" xfId="0" applyFont="1" applyBorder="1" applyAlignment="1">
      <alignment vertical="center"/>
    </xf>
    <xf numFmtId="166" fontId="2" fillId="0" borderId="16" xfId="0" applyNumberFormat="1" applyFont="1" applyBorder="1" applyAlignment="1">
      <alignment vertical="center"/>
    </xf>
    <xf numFmtId="10" fontId="2" fillId="0" borderId="17" xfId="0" applyNumberFormat="1" applyFont="1" applyBorder="1" applyAlignment="1">
      <alignment vertical="center"/>
    </xf>
    <xf numFmtId="0" fontId="10" fillId="0" borderId="18" xfId="0" applyFont="1" applyBorder="1" applyAlignment="1">
      <alignment horizontal="left" vertical="center"/>
    </xf>
    <xf numFmtId="0" fontId="10" fillId="0" borderId="19" xfId="0" applyFont="1" applyBorder="1" applyAlignment="1">
      <alignment horizontal="left" vertical="center"/>
    </xf>
    <xf numFmtId="165" fontId="20" fillId="6" borderId="19" xfId="0" applyNumberFormat="1" applyFont="1" applyFill="1" applyBorder="1" applyAlignment="1">
      <alignment horizontal="center" vertical="center" wrapText="1"/>
    </xf>
    <xf numFmtId="0" fontId="10" fillId="0" borderId="19" xfId="0" applyFont="1" applyBorder="1" applyAlignment="1">
      <alignment vertical="center"/>
    </xf>
    <xf numFmtId="165" fontId="20" fillId="6" borderId="19" xfId="0" applyNumberFormat="1" applyFont="1" applyFill="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2" xfId="0" applyFont="1" applyBorder="1" applyAlignment="1">
      <alignment horizontal="left" vertical="top" wrapText="1"/>
    </xf>
    <xf numFmtId="0" fontId="10" fillId="0" borderId="0" xfId="0" applyFont="1" applyAlignment="1">
      <alignment horizontal="left" vertical="top" wrapText="1"/>
    </xf>
    <xf numFmtId="0" fontId="10" fillId="0" borderId="23" xfId="0" applyFont="1" applyBorder="1" applyAlignment="1">
      <alignment horizontal="left" vertical="top" wrapText="1"/>
    </xf>
    <xf numFmtId="0" fontId="1" fillId="5" borderId="16" xfId="0" applyFont="1" applyFill="1" applyBorder="1" applyAlignment="1">
      <alignment vertical="center"/>
    </xf>
    <xf numFmtId="0" fontId="2" fillId="0" borderId="29" xfId="0" applyFont="1" applyBorder="1" applyAlignment="1">
      <alignment horizontal="center" vertical="center"/>
    </xf>
    <xf numFmtId="0" fontId="1" fillId="0" borderId="0" xfId="0" applyFont="1" applyAlignment="1">
      <alignment horizontal="center" vertical="center"/>
    </xf>
    <xf numFmtId="10" fontId="15" fillId="0" borderId="17" xfId="0" applyNumberFormat="1" applyFont="1" applyBorder="1" applyAlignment="1">
      <alignment vertical="center"/>
    </xf>
    <xf numFmtId="0" fontId="2" fillId="0" borderId="16" xfId="0" applyFont="1" applyBorder="1" applyAlignment="1">
      <alignment vertical="center"/>
    </xf>
    <xf numFmtId="0" fontId="15" fillId="0" borderId="30" xfId="0" applyFont="1" applyBorder="1" applyAlignment="1">
      <alignment horizontal="center" vertical="center"/>
    </xf>
    <xf numFmtId="0" fontId="1" fillId="0" borderId="31" xfId="0" applyFont="1" applyBorder="1" applyAlignment="1">
      <alignment vertical="center"/>
    </xf>
    <xf numFmtId="167" fontId="19" fillId="0" borderId="31" xfId="0" applyNumberFormat="1" applyFont="1" applyBorder="1" applyAlignment="1">
      <alignment vertical="center"/>
    </xf>
    <xf numFmtId="10" fontId="2" fillId="0" borderId="32" xfId="0" applyNumberFormat="1" applyFont="1" applyBorder="1" applyAlignment="1">
      <alignment vertical="center"/>
    </xf>
    <xf numFmtId="164" fontId="21" fillId="0" borderId="0" xfId="0" applyNumberFormat="1" applyFont="1" applyAlignment="1">
      <alignment horizontal="center" vertical="center"/>
    </xf>
    <xf numFmtId="0" fontId="22" fillId="0" borderId="0" xfId="0" applyFont="1" applyAlignment="1">
      <alignment vertical="center"/>
    </xf>
    <xf numFmtId="164" fontId="15" fillId="0" borderId="0" xfId="0" applyNumberFormat="1" applyFont="1" applyAlignment="1">
      <alignment vertical="center"/>
    </xf>
    <xf numFmtId="164" fontId="22" fillId="0" borderId="0" xfId="0" applyNumberFormat="1" applyFont="1" applyAlignment="1">
      <alignment vertical="center"/>
    </xf>
    <xf numFmtId="0" fontId="10" fillId="0" borderId="22" xfId="0" applyFont="1" applyBorder="1" applyAlignment="1">
      <alignment horizontal="left" vertical="center"/>
    </xf>
    <xf numFmtId="0" fontId="10" fillId="0" borderId="0" xfId="0" applyFont="1" applyAlignment="1">
      <alignment horizontal="left" vertical="center"/>
    </xf>
    <xf numFmtId="168" fontId="20" fillId="2" borderId="0" xfId="0" applyNumberFormat="1" applyFont="1" applyFill="1" applyAlignment="1">
      <alignment vertical="center"/>
    </xf>
    <xf numFmtId="165" fontId="10" fillId="6" borderId="0" xfId="0" applyNumberFormat="1" applyFont="1" applyFill="1" applyAlignment="1">
      <alignment horizontal="left" vertical="center" wrapText="1"/>
    </xf>
    <xf numFmtId="165" fontId="10" fillId="6" borderId="23" xfId="0" applyNumberFormat="1" applyFont="1" applyFill="1" applyBorder="1" applyAlignment="1">
      <alignment horizontal="left" vertical="center" wrapText="1"/>
    </xf>
    <xf numFmtId="0" fontId="10" fillId="0" borderId="22" xfId="0" applyFont="1" applyBorder="1" applyAlignment="1">
      <alignment vertical="top" wrapText="1"/>
    </xf>
    <xf numFmtId="0" fontId="10" fillId="0" borderId="0" xfId="0" applyFont="1" applyAlignment="1">
      <alignment vertical="top" wrapText="1"/>
    </xf>
    <xf numFmtId="0" fontId="10" fillId="0" borderId="23" xfId="0" applyFont="1" applyBorder="1" applyAlignment="1">
      <alignment vertical="top" wrapText="1"/>
    </xf>
    <xf numFmtId="0" fontId="23" fillId="0" borderId="0" xfId="0" applyFont="1" applyAlignment="1">
      <alignment vertical="center"/>
    </xf>
    <xf numFmtId="10" fontId="23" fillId="0" borderId="0" xfId="0" applyNumberFormat="1" applyFont="1" applyAlignment="1">
      <alignment vertical="center"/>
    </xf>
    <xf numFmtId="0" fontId="24" fillId="0" borderId="28" xfId="0" applyFont="1" applyBorder="1" applyAlignment="1">
      <alignment horizontal="left" vertical="top" wrapText="1"/>
    </xf>
    <xf numFmtId="0" fontId="24" fillId="0" borderId="5" xfId="0" applyFont="1" applyBorder="1" applyAlignment="1">
      <alignment horizontal="left" vertical="top" wrapText="1"/>
    </xf>
    <xf numFmtId="0" fontId="24" fillId="0" borderId="6" xfId="0" applyFont="1" applyBorder="1" applyAlignment="1">
      <alignment horizontal="left" vertical="top" wrapText="1"/>
    </xf>
    <xf numFmtId="0" fontId="14" fillId="3" borderId="15" xfId="0" applyFont="1" applyFill="1" applyBorder="1" applyAlignment="1">
      <alignment horizontal="center" vertical="center" wrapText="1"/>
    </xf>
    <xf numFmtId="0" fontId="14" fillId="6" borderId="33" xfId="0" applyFont="1" applyFill="1" applyBorder="1" applyAlignment="1">
      <alignment horizontal="center" vertical="center" wrapText="1"/>
    </xf>
    <xf numFmtId="0" fontId="14" fillId="6" borderId="34" xfId="0" applyFont="1" applyFill="1" applyBorder="1" applyAlignment="1">
      <alignment horizontal="center" vertical="center" wrapText="1"/>
    </xf>
    <xf numFmtId="0" fontId="14" fillId="6" borderId="35" xfId="0" applyFont="1" applyFill="1" applyBorder="1" applyAlignment="1">
      <alignment horizontal="center" vertical="center"/>
    </xf>
    <xf numFmtId="0" fontId="14" fillId="6" borderId="36" xfId="0" applyFont="1" applyFill="1" applyBorder="1" applyAlignment="1">
      <alignment horizontal="center" vertical="center"/>
    </xf>
    <xf numFmtId="0" fontId="14" fillId="6" borderId="34" xfId="0" applyFont="1" applyFill="1" applyBorder="1" applyAlignment="1">
      <alignment horizontal="center" vertical="center"/>
    </xf>
    <xf numFmtId="0" fontId="14" fillId="6" borderId="37" xfId="0" applyFont="1" applyFill="1" applyBorder="1" applyAlignment="1">
      <alignment horizontal="center" vertical="center"/>
    </xf>
    <xf numFmtId="0" fontId="14" fillId="3" borderId="21" xfId="0" applyFont="1" applyFill="1" applyBorder="1" applyAlignment="1">
      <alignment horizontal="center" vertical="center" wrapText="1"/>
    </xf>
    <xf numFmtId="0" fontId="10" fillId="6" borderId="38" xfId="0" applyFont="1" applyFill="1" applyBorder="1" applyAlignment="1">
      <alignment horizontal="center" vertical="center" wrapText="1"/>
    </xf>
    <xf numFmtId="0" fontId="10" fillId="6" borderId="39" xfId="0" applyFont="1" applyFill="1" applyBorder="1" applyAlignment="1">
      <alignment horizontal="center" vertical="center" wrapText="1"/>
    </xf>
    <xf numFmtId="10" fontId="10" fillId="6" borderId="40" xfId="0" applyNumberFormat="1" applyFont="1" applyFill="1" applyBorder="1" applyAlignment="1">
      <alignment horizontal="center" vertical="center"/>
    </xf>
    <xf numFmtId="10" fontId="10" fillId="6" borderId="41" xfId="0" applyNumberFormat="1" applyFont="1" applyFill="1" applyBorder="1" applyAlignment="1">
      <alignment horizontal="center" vertical="center"/>
    </xf>
    <xf numFmtId="10" fontId="10" fillId="6" borderId="39" xfId="0" applyNumberFormat="1" applyFont="1" applyFill="1" applyBorder="1" applyAlignment="1">
      <alignment horizontal="center" vertical="center"/>
    </xf>
    <xf numFmtId="10" fontId="10" fillId="6" borderId="42" xfId="0" applyNumberFormat="1" applyFont="1" applyFill="1" applyBorder="1" applyAlignment="1">
      <alignment horizontal="center" vertical="center"/>
    </xf>
    <xf numFmtId="0" fontId="14" fillId="3" borderId="27" xfId="0" applyFont="1" applyFill="1" applyBorder="1" applyAlignment="1">
      <alignment horizontal="center" vertical="center" wrapText="1"/>
    </xf>
    <xf numFmtId="0" fontId="10" fillId="6" borderId="43" xfId="0" applyFont="1" applyFill="1" applyBorder="1" applyAlignment="1">
      <alignment horizontal="center" vertical="center" wrapText="1"/>
    </xf>
    <xf numFmtId="165" fontId="10" fillId="6" borderId="44" xfId="0" applyNumberFormat="1" applyFont="1" applyFill="1" applyBorder="1" applyAlignment="1">
      <alignment horizontal="center" vertical="center" wrapText="1"/>
    </xf>
    <xf numFmtId="165" fontId="10" fillId="6" borderId="44" xfId="0" applyNumberFormat="1" applyFont="1" applyFill="1" applyBorder="1" applyAlignment="1">
      <alignment horizontal="center" vertical="center"/>
    </xf>
    <xf numFmtId="165" fontId="10" fillId="6" borderId="45" xfId="0" applyNumberFormat="1" applyFont="1" applyFill="1" applyBorder="1" applyAlignment="1">
      <alignment horizontal="center" vertical="center"/>
    </xf>
    <xf numFmtId="165" fontId="10" fillId="6" borderId="46" xfId="0" applyNumberFormat="1" applyFont="1" applyFill="1" applyBorder="1" applyAlignment="1">
      <alignment horizontal="center" vertical="center"/>
    </xf>
    <xf numFmtId="169" fontId="10" fillId="6" borderId="45" xfId="0" applyNumberFormat="1" applyFont="1" applyFill="1" applyBorder="1" applyAlignment="1">
      <alignment horizontal="center" vertical="center"/>
    </xf>
    <xf numFmtId="169" fontId="10" fillId="6" borderId="47" xfId="0" applyNumberFormat="1" applyFont="1" applyFill="1" applyBorder="1" applyAlignment="1">
      <alignment horizontal="center" vertical="center"/>
    </xf>
    <xf numFmtId="0" fontId="25" fillId="0" borderId="18" xfId="0" applyFont="1" applyBorder="1" applyAlignment="1">
      <alignment horizontal="left" vertical="center" wrapText="1"/>
    </xf>
    <xf numFmtId="0" fontId="25" fillId="0" borderId="19" xfId="0" applyFont="1" applyBorder="1" applyAlignment="1">
      <alignment horizontal="left" vertical="center" wrapText="1"/>
    </xf>
    <xf numFmtId="0" fontId="25" fillId="0" borderId="20" xfId="0" applyFont="1" applyBorder="1" applyAlignment="1">
      <alignment horizontal="left" vertical="center" wrapText="1"/>
    </xf>
    <xf numFmtId="0" fontId="25" fillId="0" borderId="22" xfId="0" applyFont="1" applyBorder="1" applyAlignment="1">
      <alignment horizontal="left" vertical="center" wrapText="1"/>
    </xf>
    <xf numFmtId="0" fontId="25" fillId="0" borderId="0" xfId="0" applyFont="1" applyAlignment="1">
      <alignment horizontal="left" vertical="center" wrapText="1"/>
    </xf>
    <xf numFmtId="0" fontId="25" fillId="0" borderId="23" xfId="0" applyFont="1" applyBorder="1" applyAlignment="1">
      <alignment horizontal="left"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164" fontId="23" fillId="0" borderId="0" xfId="0" applyNumberFormat="1" applyFont="1" applyAlignment="1">
      <alignment vertical="center"/>
    </xf>
    <xf numFmtId="170" fontId="23" fillId="0" borderId="0" xfId="0" applyNumberFormat="1" applyFont="1" applyAlignment="1">
      <alignment vertical="center"/>
    </xf>
    <xf numFmtId="0" fontId="26" fillId="0" borderId="0" xfId="0" applyFont="1" applyAlignment="1">
      <alignment vertical="center" wrapText="1"/>
    </xf>
    <xf numFmtId="164" fontId="26" fillId="0" borderId="0" xfId="0" applyNumberFormat="1" applyFont="1" applyAlignment="1">
      <alignment vertical="center" wrapText="1"/>
    </xf>
    <xf numFmtId="0" fontId="26" fillId="0" borderId="0" xfId="0" applyFont="1" applyAlignment="1">
      <alignment horizontal="left" vertical="center" wrapText="1"/>
    </xf>
    <xf numFmtId="0" fontId="14" fillId="6" borderId="0" xfId="0" applyFont="1" applyFill="1" applyAlignment="1">
      <alignment horizontal="center" vertical="center"/>
    </xf>
    <xf numFmtId="164" fontId="2" fillId="0" borderId="0" xfId="0" applyNumberFormat="1" applyFont="1" applyAlignment="1">
      <alignment horizontal="center" vertical="center"/>
    </xf>
    <xf numFmtId="10" fontId="10" fillId="6" borderId="0" xfId="0" applyNumberFormat="1" applyFont="1" applyFill="1" applyAlignment="1">
      <alignment horizontal="center" vertical="center"/>
    </xf>
    <xf numFmtId="9" fontId="1" fillId="0" borderId="0" xfId="0" applyNumberFormat="1" applyFont="1" applyAlignment="1">
      <alignment vertical="center"/>
    </xf>
    <xf numFmtId="165" fontId="27" fillId="6" borderId="0" xfId="0" applyNumberFormat="1" applyFont="1" applyFill="1" applyAlignment="1">
      <alignment horizontal="center" vertical="center"/>
    </xf>
    <xf numFmtId="169" fontId="27" fillId="6" borderId="0" xfId="0" applyNumberFormat="1" applyFont="1" applyFill="1" applyAlignment="1">
      <alignment horizontal="center" vertical="center"/>
    </xf>
    <xf numFmtId="165" fontId="20" fillId="6" borderId="0" xfId="0" applyNumberFormat="1" applyFont="1" applyFill="1" applyAlignment="1">
      <alignment horizontal="center" vertical="center"/>
    </xf>
    <xf numFmtId="164" fontId="19" fillId="0" borderId="0" xfId="0" applyNumberFormat="1" applyFont="1" applyAlignment="1">
      <alignment vertical="center"/>
    </xf>
    <xf numFmtId="169" fontId="20" fillId="6" borderId="0" xfId="0" applyNumberFormat="1" applyFont="1" applyFill="1" applyAlignment="1">
      <alignment horizontal="center" vertical="center"/>
    </xf>
    <xf numFmtId="165" fontId="10" fillId="6" borderId="0" xfId="0" applyNumberFormat="1" applyFont="1" applyFill="1" applyAlignment="1">
      <alignment horizontal="center" vertical="center"/>
    </xf>
    <xf numFmtId="169" fontId="10" fillId="6" borderId="0" xfId="0" applyNumberFormat="1" applyFont="1" applyFill="1" applyAlignment="1">
      <alignment horizontal="center" vertical="center"/>
    </xf>
    <xf numFmtId="0" fontId="10" fillId="0" borderId="8" xfId="0" applyFont="1" applyBorder="1" applyAlignment="1">
      <alignment horizontal="center" vertical="center" wrapText="1"/>
    </xf>
    <xf numFmtId="0" fontId="10" fillId="0" borderId="10" xfId="0" applyFont="1" applyBorder="1" applyAlignment="1">
      <alignment horizontal="center" vertical="center" wrapText="1"/>
    </xf>
    <xf numFmtId="0" fontId="28" fillId="0" borderId="16" xfId="0" applyFont="1" applyBorder="1" applyAlignment="1">
      <alignment horizontal="left" vertical="center" wrapText="1"/>
    </xf>
    <xf numFmtId="0" fontId="29" fillId="0" borderId="8"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16" xfId="0" applyFont="1" applyBorder="1" applyAlignment="1">
      <alignment horizontal="center"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4" fillId="3" borderId="7" xfId="0" applyFont="1" applyFill="1" applyBorder="1" applyAlignment="1">
      <alignment horizontal="center" vertical="center"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1" xfId="0" applyFont="1" applyBorder="1" applyAlignment="1">
      <alignment horizontal="left" vertical="center"/>
    </xf>
    <xf numFmtId="0" fontId="10" fillId="6" borderId="48" xfId="0" applyFont="1" applyFill="1" applyBorder="1" applyAlignment="1">
      <alignment horizontal="center" vertical="center" wrapText="1"/>
    </xf>
    <xf numFmtId="0" fontId="30" fillId="6" borderId="9" xfId="0" applyFont="1" applyFill="1" applyBorder="1" applyAlignment="1">
      <alignment horizontal="center" vertical="center" wrapText="1"/>
    </xf>
    <xf numFmtId="0" fontId="30" fillId="6" borderId="11" xfId="0" applyFont="1" applyFill="1" applyBorder="1" applyAlignment="1">
      <alignment horizontal="center" vertical="center" wrapText="1"/>
    </xf>
    <xf numFmtId="0" fontId="15" fillId="0" borderId="0" xfId="0" applyFont="1" applyAlignment="1">
      <alignment vertical="center"/>
    </xf>
    <xf numFmtId="0" fontId="10" fillId="7" borderId="49" xfId="0" applyFont="1" applyFill="1" applyBorder="1" applyAlignment="1">
      <alignment horizontal="center" vertical="center"/>
    </xf>
    <xf numFmtId="0" fontId="10" fillId="7" borderId="50" xfId="0" applyFont="1" applyFill="1" applyBorder="1" applyAlignment="1">
      <alignment horizontal="center" vertical="center"/>
    </xf>
    <xf numFmtId="0" fontId="10" fillId="7" borderId="51" xfId="0" applyFont="1" applyFill="1" applyBorder="1" applyAlignment="1">
      <alignment horizontal="center" vertical="center"/>
    </xf>
    <xf numFmtId="0" fontId="4" fillId="0" borderId="52" xfId="0" applyFont="1" applyBorder="1" applyAlignment="1">
      <alignment horizontal="center" vertical="center"/>
    </xf>
    <xf numFmtId="0" fontId="4" fillId="0" borderId="53" xfId="0" applyFont="1" applyBorder="1" applyAlignment="1">
      <alignment horizontal="center" vertical="center"/>
    </xf>
    <xf numFmtId="0" fontId="25" fillId="0" borderId="53" xfId="0" applyFont="1" applyBorder="1" applyAlignment="1">
      <alignment horizontal="center" vertical="center"/>
    </xf>
    <xf numFmtId="0" fontId="31" fillId="0" borderId="53" xfId="0" applyFont="1" applyBorder="1" applyAlignment="1">
      <alignment horizontal="center" vertical="center"/>
    </xf>
    <xf numFmtId="0" fontId="31" fillId="0" borderId="54" xfId="0" applyFont="1" applyBorder="1" applyAlignment="1">
      <alignment horizontal="center" vertical="center"/>
    </xf>
    <xf numFmtId="0" fontId="4" fillId="0" borderId="55" xfId="0" applyFont="1" applyBorder="1" applyAlignment="1">
      <alignment horizontal="center" vertical="center"/>
    </xf>
    <xf numFmtId="0" fontId="4" fillId="0" borderId="56" xfId="0" applyFont="1" applyBorder="1" applyAlignment="1">
      <alignment horizontal="center" vertical="center"/>
    </xf>
    <xf numFmtId="0" fontId="4" fillId="0" borderId="56" xfId="0" applyFont="1" applyBorder="1" applyAlignment="1">
      <alignment horizontal="center" vertical="center" shrinkToFit="1"/>
    </xf>
    <xf numFmtId="0" fontId="25" fillId="0" borderId="56" xfId="0" applyFont="1" applyBorder="1" applyAlignment="1">
      <alignment horizontal="center" vertical="center"/>
    </xf>
    <xf numFmtId="0" fontId="32" fillId="0" borderId="40" xfId="0" applyFont="1" applyBorder="1" applyAlignment="1">
      <alignment horizontal="center" vertical="center"/>
    </xf>
    <xf numFmtId="0" fontId="32" fillId="0" borderId="57" xfId="0" applyFont="1" applyBorder="1" applyAlignment="1">
      <alignment horizontal="center" vertical="center"/>
    </xf>
    <xf numFmtId="0" fontId="4" fillId="0" borderId="58" xfId="0" applyFont="1" applyBorder="1" applyAlignment="1">
      <alignment horizontal="center" vertical="center"/>
    </xf>
    <xf numFmtId="0" fontId="4" fillId="0" borderId="59" xfId="0" applyFont="1" applyBorder="1" applyAlignment="1">
      <alignment horizontal="center" vertical="center"/>
    </xf>
    <xf numFmtId="0" fontId="4" fillId="0" borderId="60" xfId="0" applyFont="1" applyBorder="1" applyAlignment="1">
      <alignment horizontal="center" vertical="center"/>
    </xf>
    <xf numFmtId="0" fontId="33" fillId="0" borderId="56" xfId="0" applyFont="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0" borderId="63" xfId="0" applyFont="1" applyBorder="1" applyAlignment="1">
      <alignment horizontal="right" vertical="center"/>
    </xf>
    <xf numFmtId="0" fontId="4" fillId="0" borderId="64" xfId="0" applyFont="1" applyBorder="1" applyAlignment="1">
      <alignment horizontal="right" vertical="center"/>
    </xf>
    <xf numFmtId="0" fontId="4" fillId="0" borderId="65" xfId="0" applyFont="1" applyBorder="1" applyAlignment="1">
      <alignment horizontal="right" vertical="center"/>
    </xf>
    <xf numFmtId="0" fontId="33" fillId="0" borderId="62" xfId="0" applyFont="1" applyBorder="1" applyAlignment="1">
      <alignment horizontal="center" vertical="center"/>
    </xf>
    <xf numFmtId="0" fontId="32" fillId="0" borderId="66" xfId="0" applyFont="1" applyBorder="1" applyAlignment="1">
      <alignment horizontal="center" vertical="center"/>
    </xf>
    <xf numFmtId="0" fontId="32" fillId="0" borderId="67" xfId="0" applyFont="1" applyBorder="1" applyAlignment="1">
      <alignment horizontal="center" vertical="center"/>
    </xf>
    <xf numFmtId="0" fontId="10" fillId="2" borderId="2" xfId="0" applyFont="1" applyFill="1" applyBorder="1" applyAlignment="1">
      <alignment horizontal="center" vertical="center" wrapText="1"/>
    </xf>
    <xf numFmtId="0" fontId="9" fillId="0" borderId="28"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28" fillId="0" borderId="17" xfId="0" applyFont="1" applyBorder="1" applyAlignment="1">
      <alignment horizontal="left" vertical="center" wrapText="1"/>
    </xf>
    <xf numFmtId="0" fontId="4" fillId="0" borderId="68" xfId="0" applyFont="1" applyBorder="1" applyAlignment="1">
      <alignment horizontal="center" vertical="center"/>
    </xf>
    <xf numFmtId="0" fontId="4" fillId="0" borderId="62" xfId="0" applyFont="1" applyBorder="1" applyAlignment="1">
      <alignment horizontal="right" vertical="center"/>
    </xf>
    <xf numFmtId="0" fontId="4" fillId="0" borderId="69" xfId="0" applyFont="1" applyBorder="1" applyAlignment="1">
      <alignment horizontal="center" vertical="center"/>
    </xf>
    <xf numFmtId="0" fontId="34" fillId="0" borderId="56" xfId="0" applyFont="1" applyBorder="1" applyAlignment="1">
      <alignment horizontal="center" vertical="center"/>
    </xf>
    <xf numFmtId="0" fontId="34" fillId="0" borderId="68" xfId="0" applyFont="1" applyBorder="1" applyAlignment="1">
      <alignment horizontal="center" vertical="center"/>
    </xf>
    <xf numFmtId="0" fontId="34" fillId="0" borderId="62" xfId="0" applyFont="1" applyBorder="1" applyAlignment="1">
      <alignment horizontal="center" vertical="center"/>
    </xf>
    <xf numFmtId="0" fontId="34" fillId="0" borderId="69" xfId="0" applyFont="1" applyBorder="1" applyAlignment="1">
      <alignment horizontal="center" vertical="center"/>
    </xf>
    <xf numFmtId="0" fontId="25" fillId="0" borderId="54" xfId="0" applyFont="1" applyBorder="1" applyAlignment="1">
      <alignment horizontal="center" vertical="center"/>
    </xf>
    <xf numFmtId="0" fontId="33" fillId="0" borderId="68" xfId="0" applyFont="1" applyBorder="1" applyAlignment="1">
      <alignment horizontal="center" vertical="center"/>
    </xf>
    <xf numFmtId="0" fontId="33" fillId="0" borderId="69" xfId="0" applyFont="1" applyBorder="1" applyAlignment="1">
      <alignment horizontal="center" vertical="center"/>
    </xf>
    <xf numFmtId="0" fontId="10" fillId="0" borderId="53" xfId="0" applyFont="1" applyBorder="1" applyAlignment="1">
      <alignment horizontal="center" vertical="center"/>
    </xf>
    <xf numFmtId="0" fontId="10" fillId="0" borderId="5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2.xml"/><Relationship Id="rId5" Type="http://schemas.openxmlformats.org/officeDocument/2006/relationships/worksheet" Target="worksheets/sheet11.xml"/><Relationship Id="rId6" Type="http://schemas.openxmlformats.org/officeDocument/2006/relationships/worksheet" Target="worksheets/sheet10.xml"/><Relationship Id="rId7" Type="http://schemas.openxmlformats.org/officeDocument/2006/relationships/worksheet" Target="worksheets/sheet9.xml"/><Relationship Id="rId8" Type="http://schemas.openxmlformats.org/officeDocument/2006/relationships/worksheet" Target="worksheets/sheet8.xml"/><Relationship Id="rId9" Type="http://schemas.openxmlformats.org/officeDocument/2006/relationships/worksheet" Target="worksheets/sheet7.xml"/><Relationship Id="rId10" Type="http://schemas.openxmlformats.org/officeDocument/2006/relationships/worksheet" Target="worksheets/sheet6.xml"/><Relationship Id="rId11" Type="http://schemas.openxmlformats.org/officeDocument/2006/relationships/worksheet" Target="worksheets/sheet5.xml"/><Relationship Id="rId12" Type="http://schemas.openxmlformats.org/officeDocument/2006/relationships/worksheet" Target="worksheets/sheet4.xml"/><Relationship Id="rId13" Type="http://schemas.openxmlformats.org/officeDocument/2006/relationships/worksheet" Target="worksheets/sheet3.xml"/><Relationship Id="rId14" Type="http://schemas.openxmlformats.org/officeDocument/2006/relationships/worksheet" Target="worksheets/sheet2.xml"/><Relationship Id="rId1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49</xdr:row>
      <xdr:rowOff>180975</xdr:rowOff>
    </xdr:from>
    <xdr:to>
      <xdr:col>4</xdr:col>
      <xdr:colOff>910575</xdr:colOff>
      <xdr:row>51</xdr:row>
      <xdr:rowOff>8205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154</v>
      </c>
      <c r="C8" s="45"/>
      <c r="D8" s="46" t="s">
        <v>155</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0</v>
      </c>
      <c r="F11" s="69" t="s">
        <v>31</v>
      </c>
      <c r="G11" s="70">
        <f>E11/8</f>
        <v>0</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0</v>
      </c>
      <c r="D24" s="119">
        <f>G18*$D$23</f>
        <v>0</v>
      </c>
      <c r="E24" s="119">
        <f>G18*$E$23</f>
        <v>0</v>
      </c>
      <c r="F24" s="119">
        <f>G18*$F$23</f>
        <v>0</v>
      </c>
      <c r="G24" s="120">
        <f>G18*$G$23</f>
        <v>0</v>
      </c>
      <c r="H24" s="121"/>
      <c r="I24" s="122">
        <f>G18*$I$23</f>
        <v>0</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0</v>
      </c>
      <c r="M27" s="133">
        <f>E24*5</f>
        <v>0</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156</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207" t="s">
        <v>157</v>
      </c>
      <c r="H48" s="207"/>
      <c r="I48" s="207"/>
      <c r="J48" s="208"/>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158</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4"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151</v>
      </c>
      <c r="C8" s="45"/>
      <c r="D8" s="46" t="s">
        <v>152</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73279.99999999997</v>
      </c>
      <c r="F11" s="69" t="s">
        <v>31</v>
      </c>
      <c r="G11" s="70">
        <f>E11/8</f>
        <v>9159.999999999996</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100374.46390168967</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9159.999999999996</v>
      </c>
      <c r="D24" s="119">
        <f>G18*$D$23</f>
        <v>73279.99999999997</v>
      </c>
      <c r="E24" s="119">
        <f>G18*$E$23</f>
        <v>14655.999999999993</v>
      </c>
      <c r="F24" s="119">
        <f>G18*$F$23</f>
        <v>0</v>
      </c>
      <c r="G24" s="120">
        <f>G18*$G$23</f>
        <v>6106.666666666664</v>
      </c>
      <c r="H24" s="121"/>
      <c r="I24" s="122">
        <f>G18*$I$23</f>
        <v>6331.797235023039</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73279.99999999997</v>
      </c>
      <c r="M27" s="133">
        <f>E24*5</f>
        <v>73279.99999999997</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M50" sqref="M50"/>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148</v>
      </c>
      <c r="C8" s="45"/>
      <c r="D8" s="46" t="s">
        <v>149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0.6032246108228317</v>
      </c>
      <c r="S10" s="6"/>
    </row>
    <row r="11" ht="19.5" customHeight="1" spans="1:19" x14ac:dyDescent="0.25">
      <c r="A11" s="43" t="s">
        <v>29</v>
      </c>
      <c r="B11" s="66" t="s">
        <v>30</v>
      </c>
      <c r="C11" s="67"/>
      <c r="D11" s="67"/>
      <c r="E11" s="68">
        <f>D24</f>
        <v>68187.3387694589</v>
      </c>
      <c r="F11" s="69" t="s">
        <v>31</v>
      </c>
      <c r="G11" s="70">
        <f>E11/8</f>
        <v>8523.417346182363</v>
      </c>
      <c r="H11" s="71" t="s">
        <v>32</v>
      </c>
      <c r="I11" s="71"/>
      <c r="J11" s="72"/>
      <c r="L11" s="60" t="s">
        <v>33</v>
      </c>
      <c r="M11" s="61">
        <v>9.6</v>
      </c>
      <c r="N11" s="62">
        <v>1</v>
      </c>
      <c r="O11" s="63">
        <v>4.34</v>
      </c>
      <c r="P11" s="64">
        <f>M11*O11</f>
        <v>41.663999999999994</v>
      </c>
      <c r="Q11" s="65">
        <f>P11/P15</f>
        <v>0.12064492216456633</v>
      </c>
      <c r="S11" s="6"/>
    </row>
    <row r="12" ht="17.25" customHeight="1" spans="1:19" x14ac:dyDescent="0.25">
      <c r="A12" s="50"/>
      <c r="B12" s="73" t="s">
        <v>34</v>
      </c>
      <c r="C12" s="74"/>
      <c r="D12" s="74"/>
      <c r="E12" s="74"/>
      <c r="F12" s="74"/>
      <c r="G12" s="74"/>
      <c r="H12" s="74"/>
      <c r="I12" s="74"/>
      <c r="J12" s="75"/>
      <c r="L12" s="60" t="s">
        <v>35</v>
      </c>
      <c r="M12" s="61">
        <v>12</v>
      </c>
      <c r="N12" s="62">
        <v>1</v>
      </c>
      <c r="O12" s="63">
        <v>5</v>
      </c>
      <c r="P12" s="64">
        <f>M12*N12*O12</f>
        <v>60</v>
      </c>
      <c r="Q12" s="65">
        <f>P12/P15</f>
        <v>0.17373980726464047</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0.05026871756856931</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0.052121942179392144</v>
      </c>
      <c r="S14" s="6"/>
    </row>
    <row r="15" ht="13.5" customHeight="1" spans="1:19" x14ac:dyDescent="0.25">
      <c r="A15" s="50"/>
      <c r="B15" s="51" t="s">
        <v>38</v>
      </c>
      <c r="C15" s="52"/>
      <c r="D15" s="52"/>
      <c r="E15" s="52"/>
      <c r="F15" s="52"/>
      <c r="G15" s="52"/>
      <c r="H15" s="52"/>
      <c r="I15" s="52"/>
      <c r="J15" s="53"/>
      <c r="L15" s="81" t="s">
        <v>39</v>
      </c>
      <c r="M15" s="82"/>
      <c r="N15" s="82"/>
      <c r="O15" s="82">
        <v>0</v>
      </c>
      <c r="P15" s="83">
        <f>SUM(P10:P14)</f>
        <v>345.344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113038.05837173585</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0.6032246108228317</v>
      </c>
      <c r="E23" s="112">
        <f>Q11</f>
        <v>0.12064492216456633</v>
      </c>
      <c r="F23" s="112">
        <f>Q12</f>
        <v>0.17373980726464047</v>
      </c>
      <c r="G23" s="113">
        <f>Q13</f>
        <v>0.05026871756856931</v>
      </c>
      <c r="H23" s="114"/>
      <c r="I23" s="113">
        <f>Q14</f>
        <v>0.052121942179392144</v>
      </c>
      <c r="J23" s="115"/>
      <c r="L23" s="97"/>
      <c r="M23" s="97"/>
      <c r="N23" s="97"/>
      <c r="O23" s="97"/>
      <c r="P23" s="97"/>
      <c r="Q23" s="97"/>
      <c r="R23" s="97"/>
      <c r="S23" s="1"/>
    </row>
    <row r="24" ht="18.75" customHeight="1" spans="1:19" x14ac:dyDescent="0.25">
      <c r="A24" s="116"/>
      <c r="B24" s="117" t="s">
        <v>56</v>
      </c>
      <c r="C24" s="118">
        <f>G11</f>
        <v>8523.417346182363</v>
      </c>
      <c r="D24" s="119">
        <f>G18*$D$23</f>
        <v>68187.3387694589</v>
      </c>
      <c r="E24" s="119">
        <f>G18*$E$23</f>
        <v>13637.467753891779</v>
      </c>
      <c r="F24" s="119">
        <f>G18*$F$23</f>
        <v>19639.210475074568</v>
      </c>
      <c r="G24" s="120">
        <f>G18*$G$23</f>
        <v>5682.278230788241</v>
      </c>
      <c r="H24" s="121"/>
      <c r="I24" s="122">
        <f>G18*$I$23</f>
        <v>5891.76314252237</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68187.3387694589</v>
      </c>
      <c r="M27" s="133">
        <f>E24*5</f>
        <v>68187.33876945889</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137</v>
      </c>
      <c r="C8" s="45"/>
      <c r="D8" s="46" t="s">
        <v>138</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116810.58652013009</v>
      </c>
      <c r="F11" s="69" t="s">
        <v>31</v>
      </c>
      <c r="G11" s="70">
        <f>E11/8</f>
        <v>14601.323315016261</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160000</v>
      </c>
      <c r="H18" s="92" t="s">
        <v>43</v>
      </c>
      <c r="I18" s="92"/>
      <c r="J18" s="93"/>
      <c r="L18" s="21"/>
      <c r="M18" s="85"/>
      <c r="P18" s="59"/>
      <c r="S18" s="6"/>
    </row>
    <row r="19" ht="15.75" customHeight="1" spans="1:19" x14ac:dyDescent="0.25">
      <c r="A19" s="50"/>
      <c r="B19" s="94" t="s">
        <v>139</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140</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14601.323315016261</v>
      </c>
      <c r="D24" s="119">
        <f>G18*$D$23</f>
        <v>116810.58652013009</v>
      </c>
      <c r="E24" s="119">
        <f>G18*$E$23</f>
        <v>23362.117304026015</v>
      </c>
      <c r="F24" s="119">
        <f>G18*$F$23</f>
        <v>0</v>
      </c>
      <c r="G24" s="120">
        <f>G18*$G$23</f>
        <v>9734.215543344173</v>
      </c>
      <c r="H24" s="121"/>
      <c r="I24" s="122">
        <f>G18*$I$23</f>
        <v>10093.080632499721</v>
      </c>
      <c r="J24" s="123"/>
      <c r="L24" s="97"/>
      <c r="M24" s="97"/>
      <c r="N24" s="97"/>
      <c r="O24" s="97"/>
      <c r="P24" s="97"/>
      <c r="Q24" s="97"/>
      <c r="R24" s="97"/>
      <c r="S24" s="1"/>
    </row>
    <row r="25" ht="54.75" customHeight="1" spans="1:19" x14ac:dyDescent="0.25">
      <c r="A25" s="102" t="s">
        <v>57</v>
      </c>
      <c r="B25" s="124" t="s">
        <v>141</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116810.58652013009</v>
      </c>
      <c r="M27" s="133">
        <f>E24*5</f>
        <v>116810.58652013008</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142</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143</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144</v>
      </c>
      <c r="C45" s="160"/>
      <c r="D45" s="160"/>
      <c r="E45" s="160"/>
      <c r="F45" s="160"/>
      <c r="G45" s="160"/>
      <c r="H45" s="160"/>
      <c r="I45" s="160"/>
      <c r="J45" s="161"/>
      <c r="S45" s="1"/>
    </row>
    <row r="46" ht="19.5" customHeight="1" spans="1:19" x14ac:dyDescent="0.25">
      <c r="A46" s="162" t="s">
        <v>145</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146</v>
      </c>
      <c r="H48" s="172"/>
      <c r="I48" s="172"/>
      <c r="J48" s="173"/>
      <c r="S48" s="6"/>
    </row>
    <row r="49" ht="23.25" customHeight="1" spans="1:19" x14ac:dyDescent="0.25">
      <c r="A49" s="174" t="s">
        <v>85</v>
      </c>
      <c r="B49" s="175"/>
      <c r="C49" s="176" t="s">
        <v>86</v>
      </c>
      <c r="D49" s="176"/>
      <c r="E49" s="176"/>
      <c r="F49" s="177" t="s">
        <v>87</v>
      </c>
      <c r="G49" s="183"/>
      <c r="H49" s="183"/>
      <c r="I49" s="183"/>
      <c r="J49" s="205"/>
      <c r="S49" s="6"/>
    </row>
    <row r="50" ht="23.25" customHeight="1" spans="1:19" x14ac:dyDescent="0.25">
      <c r="A50" s="174" t="s">
        <v>88</v>
      </c>
      <c r="B50" s="175"/>
      <c r="C50" s="175"/>
      <c r="D50" s="175"/>
      <c r="E50" s="175"/>
      <c r="F50" s="183" t="s">
        <v>90</v>
      </c>
      <c r="G50" s="183"/>
      <c r="H50" s="183"/>
      <c r="I50" s="183"/>
      <c r="J50" s="205"/>
      <c r="S50" s="6"/>
    </row>
    <row r="51" ht="23.25" customHeight="1" spans="1:19" x14ac:dyDescent="0.25">
      <c r="A51" s="184" t="s">
        <v>91</v>
      </c>
      <c r="B51" s="185"/>
      <c r="C51" s="198" t="s">
        <v>147</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132</v>
      </c>
      <c r="C8" s="45"/>
      <c r="D8" s="46" t="s">
        <v>133</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112096.42703400775</v>
      </c>
      <c r="F11" s="69" t="s">
        <v>31</v>
      </c>
      <c r="G11" s="70">
        <f>E11/8</f>
        <v>14012.053379250969</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160000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14012.053379250969</v>
      </c>
      <c r="D24" s="119">
        <f>G18*$D$23</f>
        <v>112096.42703400775</v>
      </c>
      <c r="E24" s="119">
        <f>G18*$E$23</f>
        <v>22419.285406801544</v>
      </c>
      <c r="F24" s="119">
        <f>G18*$F$23</f>
        <v>6457.167455876022</v>
      </c>
      <c r="G24" s="120">
        <f>G18*$G$23</f>
        <v>9341.368919500646</v>
      </c>
      <c r="H24" s="121"/>
      <c r="I24" s="122">
        <f>G18*$I$23</f>
        <v>9685.751183814034</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112096.42703400775</v>
      </c>
      <c r="M27" s="133">
        <f>E24*5</f>
        <v>112096.42703400772</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134</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207" t="s">
        <v>135</v>
      </c>
      <c r="H48" s="207"/>
      <c r="I48" s="207"/>
      <c r="J48" s="208"/>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6"/>
      <c r="D50" s="176"/>
      <c r="E50" s="176"/>
      <c r="F50" s="183" t="s">
        <v>90</v>
      </c>
      <c r="G50" s="175"/>
      <c r="H50" s="175"/>
      <c r="I50" s="175"/>
      <c r="J50" s="197"/>
      <c r="S50" s="6"/>
    </row>
    <row r="51" ht="23.25" customHeight="1" spans="1:19" x14ac:dyDescent="0.25">
      <c r="A51" s="184" t="s">
        <v>91</v>
      </c>
      <c r="B51" s="185"/>
      <c r="C51" s="198" t="s">
        <v>136</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t="s">
        <v>127</v>
      </c>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128</v>
      </c>
      <c r="C8" s="45"/>
      <c r="D8" s="46" t="s">
        <v>129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211719.18806773578</v>
      </c>
      <c r="F11" s="69" t="s">
        <v>31</v>
      </c>
      <c r="G11" s="70">
        <f>E11/8</f>
        <v>26464.898508466973</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290000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26464.898508466973</v>
      </c>
      <c r="D24" s="119">
        <f>G18*$D$23</f>
        <v>211719.18806773578</v>
      </c>
      <c r="E24" s="119">
        <f>G18*$E$23</f>
        <v>42343.837613547155</v>
      </c>
      <c r="F24" s="119">
        <f>G18*$F$23</f>
        <v>0</v>
      </c>
      <c r="G24" s="120">
        <f>G18*$G$23</f>
        <v>17643.265672311314</v>
      </c>
      <c r="H24" s="121"/>
      <c r="I24" s="122">
        <f>G18*$I$23</f>
        <v>18293.708646405743</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211719.18806773578</v>
      </c>
      <c r="M27" s="133">
        <f>E24*5</f>
        <v>211719.18806773578</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130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6"/>
      <c r="D50" s="176"/>
      <c r="E50" s="176"/>
      <c r="F50" s="183" t="s">
        <v>90</v>
      </c>
      <c r="G50" s="175"/>
      <c r="H50" s="175"/>
      <c r="I50" s="175"/>
      <c r="J50" s="197"/>
      <c r="S50" s="6"/>
    </row>
    <row r="51" ht="23.25" customHeight="1" spans="1:19" x14ac:dyDescent="0.25">
      <c r="A51" s="184" t="s">
        <v>91</v>
      </c>
      <c r="B51" s="185"/>
      <c r="C51" s="198" t="s">
        <v>131</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123</v>
      </c>
      <c r="C8" s="45"/>
      <c r="D8" s="46" t="s">
        <v>124</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210180.80068876452</v>
      </c>
      <c r="F11" s="69" t="s">
        <v>31</v>
      </c>
      <c r="G11" s="70">
        <f>E11/8</f>
        <v>26272.600086095565</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300000</v>
      </c>
      <c r="H18" s="92" t="s">
        <v>43</v>
      </c>
      <c r="I18" s="92"/>
      <c r="J18" s="93"/>
      <c r="L18" s="21"/>
      <c r="M18" s="85"/>
      <c r="P18" s="59"/>
      <c r="S18" s="6"/>
    </row>
    <row r="19" ht="15.75" customHeight="1" spans="1:19" x14ac:dyDescent="0.25">
      <c r="A19" s="50"/>
      <c r="B19" s="94" t="s">
        <v>125</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26272.600086095565</v>
      </c>
      <c r="D24" s="119">
        <f>G18*$D$23</f>
        <v>210180.80068876452</v>
      </c>
      <c r="E24" s="119">
        <f>G18*$E$23</f>
        <v>42036.1601377529</v>
      </c>
      <c r="F24" s="119">
        <f>G18*$F$23</f>
        <v>12107.188979767543</v>
      </c>
      <c r="G24" s="120">
        <f>G18*$G$23</f>
        <v>17515.06672406371</v>
      </c>
      <c r="H24" s="121"/>
      <c r="I24" s="122">
        <f>G18*$I$23</f>
        <v>18160.783469651313</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210180.80068876452</v>
      </c>
      <c r="M27" s="133">
        <f>E24*5</f>
        <v>210180.8006887645</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126</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75</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118</v>
      </c>
      <c r="C8" s="45"/>
      <c r="D8" s="46" t="s">
        <v>119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0.6734250543084721</v>
      </c>
      <c r="S10" s="6"/>
    </row>
    <row r="11" ht="19.5" customHeight="1" spans="1:19" x14ac:dyDescent="0.25">
      <c r="A11" s="43" t="s">
        <v>29</v>
      </c>
      <c r="B11" s="66" t="s">
        <v>30</v>
      </c>
      <c r="C11" s="67"/>
      <c r="D11" s="67"/>
      <c r="E11" s="68">
        <f>D24</f>
        <v>80811.00651701665</v>
      </c>
      <c r="F11" s="69" t="s">
        <v>31</v>
      </c>
      <c r="G11" s="70">
        <f>E11/8</f>
        <v>10101.375814627081</v>
      </c>
      <c r="H11" s="71" t="s">
        <v>32</v>
      </c>
      <c r="I11" s="71"/>
      <c r="J11" s="72"/>
      <c r="L11" s="60" t="s">
        <v>33</v>
      </c>
      <c r="M11" s="61">
        <v>9.6</v>
      </c>
      <c r="N11" s="62">
        <v>1</v>
      </c>
      <c r="O11" s="63">
        <v>4.34</v>
      </c>
      <c r="P11" s="64">
        <f>M11*O11</f>
        <v>41.663999999999994</v>
      </c>
      <c r="Q11" s="65">
        <f>P11/P15</f>
        <v>0.1346850108616944</v>
      </c>
      <c r="S11" s="6"/>
    </row>
    <row r="12" ht="17.25" customHeight="1" spans="1:19" x14ac:dyDescent="0.25">
      <c r="A12" s="50"/>
      <c r="B12" s="73" t="s">
        <v>34</v>
      </c>
      <c r="C12" s="74"/>
      <c r="D12" s="74"/>
      <c r="E12" s="74"/>
      <c r="F12" s="74"/>
      <c r="G12" s="74"/>
      <c r="H12" s="74"/>
      <c r="I12" s="74"/>
      <c r="J12" s="75"/>
      <c r="L12" s="60" t="s">
        <v>35</v>
      </c>
      <c r="M12" s="61">
        <v>12</v>
      </c>
      <c r="N12" s="62">
        <v>1</v>
      </c>
      <c r="O12" s="63">
        <v>2</v>
      </c>
      <c r="P12" s="64">
        <f>M12*N12*O12</f>
        <v>24</v>
      </c>
      <c r="Q12" s="65">
        <f>P12/P15</f>
        <v>0.07758353160235854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0.056118754525706006</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0.05818764870176891</v>
      </c>
      <c r="S14" s="6"/>
    </row>
    <row r="15" ht="13.5" customHeight="1" spans="1:19" x14ac:dyDescent="0.25">
      <c r="A15" s="50"/>
      <c r="B15" s="51" t="s">
        <v>38</v>
      </c>
      <c r="C15" s="52"/>
      <c r="D15" s="52"/>
      <c r="E15" s="52"/>
      <c r="F15" s="52"/>
      <c r="G15" s="52"/>
      <c r="H15" s="52"/>
      <c r="I15" s="52"/>
      <c r="J15" s="53"/>
      <c r="L15" s="81" t="s">
        <v>39</v>
      </c>
      <c r="M15" s="82"/>
      <c r="N15" s="82"/>
      <c r="O15" s="82">
        <v>0</v>
      </c>
      <c r="P15" s="83">
        <f>SUM(P10:P14)</f>
        <v>309.344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120000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0.6734250543084721</v>
      </c>
      <c r="E23" s="112">
        <f>Q11</f>
        <v>0.1346850108616944</v>
      </c>
      <c r="F23" s="112">
        <f>Q12</f>
        <v>0.07758353160235854</v>
      </c>
      <c r="G23" s="113">
        <f>Q13</f>
        <v>0.056118754525706006</v>
      </c>
      <c r="H23" s="114"/>
      <c r="I23" s="113">
        <f>Q14</f>
        <v>0.05818764870176891</v>
      </c>
      <c r="J23" s="115"/>
      <c r="L23" s="97"/>
      <c r="M23" s="97"/>
      <c r="N23" s="97"/>
      <c r="O23" s="97"/>
      <c r="P23" s="97"/>
      <c r="Q23" s="97"/>
      <c r="R23" s="97"/>
      <c r="S23" s="1"/>
    </row>
    <row r="24" ht="18.75" customHeight="1" spans="1:19" x14ac:dyDescent="0.25">
      <c r="A24" s="116"/>
      <c r="B24" s="117" t="s">
        <v>56</v>
      </c>
      <c r="C24" s="118">
        <f>G11</f>
        <v>10101.375814627081</v>
      </c>
      <c r="D24" s="119">
        <f>G18*$D$23</f>
        <v>80811.00651701665</v>
      </c>
      <c r="E24" s="119">
        <f>G18*$E$23</f>
        <v>16162.201303403328</v>
      </c>
      <c r="F24" s="119">
        <f>G18*$F$23</f>
        <v>9310.023792283024</v>
      </c>
      <c r="G24" s="120">
        <f>G18*$G$23</f>
        <v>6734.25054308472</v>
      </c>
      <c r="H24" s="121"/>
      <c r="I24" s="122">
        <f>G18*$I$23</f>
        <v>6982.517844212269</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80811.00651701665</v>
      </c>
      <c r="M27" s="133">
        <f>E24*5</f>
        <v>80811.00651701663</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120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1" t="s">
        <v>121</v>
      </c>
      <c r="H48" s="171"/>
      <c r="I48" s="171"/>
      <c r="J48" s="204"/>
      <c r="S48" s="6"/>
    </row>
    <row r="49" ht="23.25" customHeight="1" spans="1:19" x14ac:dyDescent="0.25">
      <c r="A49" s="174" t="s">
        <v>85</v>
      </c>
      <c r="B49" s="175"/>
      <c r="C49" s="176" t="s">
        <v>86</v>
      </c>
      <c r="D49" s="176"/>
      <c r="E49" s="176"/>
      <c r="F49" s="177" t="s">
        <v>87</v>
      </c>
      <c r="G49" s="183"/>
      <c r="H49" s="183"/>
      <c r="I49" s="183"/>
      <c r="J49" s="205"/>
      <c r="S49" s="6"/>
    </row>
    <row r="50" ht="23.25" customHeight="1" spans="1:19" x14ac:dyDescent="0.25">
      <c r="A50" s="174" t="s">
        <v>88</v>
      </c>
      <c r="B50" s="175"/>
      <c r="C50" s="175"/>
      <c r="D50" s="175"/>
      <c r="E50" s="175"/>
      <c r="F50" s="183" t="s">
        <v>90</v>
      </c>
      <c r="G50" s="183"/>
      <c r="H50" s="183"/>
      <c r="I50" s="183"/>
      <c r="J50" s="205"/>
      <c r="S50" s="6"/>
    </row>
    <row r="51" ht="23.25" customHeight="1" spans="1:19" x14ac:dyDescent="0.25">
      <c r="A51" s="184" t="s">
        <v>91</v>
      </c>
      <c r="B51" s="185"/>
      <c r="C51" s="198" t="s">
        <v>122</v>
      </c>
      <c r="D51" s="198"/>
      <c r="E51" s="198"/>
      <c r="F51" s="189" t="s">
        <v>93</v>
      </c>
      <c r="G51" s="189"/>
      <c r="H51" s="189"/>
      <c r="I51" s="189"/>
      <c r="J51" s="206"/>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115</v>
      </c>
      <c r="C8" s="45"/>
      <c r="D8" s="46" t="s">
        <v>116</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73279.99999999997</v>
      </c>
      <c r="F11" s="69" t="s">
        <v>31</v>
      </c>
      <c r="G11" s="70">
        <f>E11/8</f>
        <v>9159.999999999996</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100374.46390168967</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c r="M20" s="97"/>
      <c r="N20" s="97"/>
      <c r="O20" s="97"/>
      <c r="P20" s="97"/>
      <c r="Q20" s="98"/>
      <c r="S20" s="6"/>
    </row>
    <row r="21" ht="15.75" customHeight="1" spans="1:19" x14ac:dyDescent="0.25">
      <c r="A21" s="50"/>
      <c r="B21" s="99" t="s">
        <v>109</v>
      </c>
      <c r="C21" s="100"/>
      <c r="D21" s="100"/>
      <c r="E21" s="100"/>
      <c r="F21" s="100"/>
      <c r="G21" s="100"/>
      <c r="H21" s="100"/>
      <c r="I21" s="100"/>
      <c r="J21" s="101"/>
      <c r="L21" s="97"/>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47</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t="s">
        <v>49</v>
      </c>
      <c r="M23" s="97"/>
      <c r="N23" s="97"/>
      <c r="O23" s="97"/>
      <c r="P23" s="97"/>
      <c r="Q23" s="97"/>
      <c r="R23" s="97"/>
      <c r="S23" s="1"/>
    </row>
    <row r="24" ht="18.75" customHeight="1" spans="1:19" x14ac:dyDescent="0.25">
      <c r="A24" s="116"/>
      <c r="B24" s="117" t="s">
        <v>56</v>
      </c>
      <c r="C24" s="118">
        <f>G11</f>
        <v>9159.999999999996</v>
      </c>
      <c r="D24" s="119">
        <f>G18*$D$23</f>
        <v>73279.99999999997</v>
      </c>
      <c r="E24" s="119">
        <f>G18*$E$23</f>
        <v>14655.999999999993</v>
      </c>
      <c r="F24" s="119">
        <f>G18*$F$23</f>
        <v>0</v>
      </c>
      <c r="G24" s="120">
        <f>G18*$G$23</f>
        <v>6106.666666666664</v>
      </c>
      <c r="H24" s="121"/>
      <c r="I24" s="122">
        <f>G18*$I$23</f>
        <v>6331.797235023039</v>
      </c>
      <c r="J24" s="123"/>
      <c r="L24" s="97" t="s">
        <v>54</v>
      </c>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73279.99999999997</v>
      </c>
      <c r="M27" s="133">
        <f>E24*5</f>
        <v>73279.99999999997</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117</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4"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106</v>
      </c>
      <c r="C8" s="45"/>
      <c r="D8" s="46" t="s">
        <v>107</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0.6734250543084721</v>
      </c>
      <c r="S10" s="6"/>
    </row>
    <row r="11" ht="19.5" customHeight="1" spans="1:19" x14ac:dyDescent="0.25">
      <c r="A11" s="43" t="s">
        <v>29</v>
      </c>
      <c r="B11" s="66" t="s">
        <v>30</v>
      </c>
      <c r="C11" s="67"/>
      <c r="D11" s="67"/>
      <c r="E11" s="68">
        <f>D24</f>
        <v>73279.99999999999</v>
      </c>
      <c r="F11" s="69" t="s">
        <v>31</v>
      </c>
      <c r="G11" s="70">
        <f>E11/8</f>
        <v>9159.999999999998</v>
      </c>
      <c r="H11" s="71" t="s">
        <v>32</v>
      </c>
      <c r="I11" s="71"/>
      <c r="J11" s="72"/>
      <c r="L11" s="60" t="s">
        <v>33</v>
      </c>
      <c r="M11" s="61">
        <v>9.6</v>
      </c>
      <c r="N11" s="62">
        <v>1</v>
      </c>
      <c r="O11" s="63">
        <v>4.34</v>
      </c>
      <c r="P11" s="64">
        <f>M11*O11</f>
        <v>41.663999999999994</v>
      </c>
      <c r="Q11" s="65">
        <f>P11/P15</f>
        <v>0.1346850108616944</v>
      </c>
      <c r="S11" s="6"/>
    </row>
    <row r="12" ht="17.25" customHeight="1" spans="1:19" x14ac:dyDescent="0.25">
      <c r="A12" s="50"/>
      <c r="B12" s="73" t="s">
        <v>34</v>
      </c>
      <c r="C12" s="74"/>
      <c r="D12" s="74"/>
      <c r="E12" s="74"/>
      <c r="F12" s="74"/>
      <c r="G12" s="74"/>
      <c r="H12" s="74"/>
      <c r="I12" s="74"/>
      <c r="J12" s="75"/>
      <c r="L12" s="60" t="s">
        <v>35</v>
      </c>
      <c r="M12" s="61">
        <v>12</v>
      </c>
      <c r="N12" s="62">
        <v>1</v>
      </c>
      <c r="O12" s="63">
        <v>2</v>
      </c>
      <c r="P12" s="64">
        <f>M12*N12*O12</f>
        <v>24</v>
      </c>
      <c r="Q12" s="65">
        <f>P12/P15</f>
        <v>0.07758353160235854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0.056118754525706006</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0.05818764870176891</v>
      </c>
      <c r="S14" s="6"/>
    </row>
    <row r="15" ht="13.5" customHeight="1" spans="1:19" x14ac:dyDescent="0.25">
      <c r="A15" s="50"/>
      <c r="B15" s="51" t="s">
        <v>38</v>
      </c>
      <c r="C15" s="52"/>
      <c r="D15" s="52"/>
      <c r="E15" s="52"/>
      <c r="F15" s="52"/>
      <c r="G15" s="52"/>
      <c r="H15" s="52"/>
      <c r="I15" s="52"/>
      <c r="J15" s="53"/>
      <c r="L15" s="81" t="s">
        <v>39</v>
      </c>
      <c r="M15" s="82"/>
      <c r="N15" s="82"/>
      <c r="O15" s="82">
        <v>0</v>
      </c>
      <c r="P15" s="83">
        <f>SUM(P10:P14)</f>
        <v>309.344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108816.86021505375</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c r="M20" s="97"/>
      <c r="N20" s="97"/>
      <c r="O20" s="97"/>
      <c r="P20" s="97"/>
      <c r="Q20" s="98"/>
      <c r="S20" s="6"/>
    </row>
    <row r="21" ht="15.75" customHeight="1" spans="1:19" x14ac:dyDescent="0.25">
      <c r="A21" s="50"/>
      <c r="B21" s="99" t="s">
        <v>109</v>
      </c>
      <c r="C21" s="100"/>
      <c r="D21" s="100"/>
      <c r="E21" s="100"/>
      <c r="F21" s="100"/>
      <c r="G21" s="100"/>
      <c r="H21" s="100"/>
      <c r="I21" s="100"/>
      <c r="J21" s="101"/>
      <c r="L21" s="97"/>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47</v>
      </c>
      <c r="M22" s="97"/>
      <c r="N22" s="97"/>
      <c r="O22" s="97"/>
      <c r="P22" s="97"/>
      <c r="Q22" s="98"/>
      <c r="R22" s="97"/>
      <c r="S22" s="1"/>
    </row>
    <row r="23" ht="18.75" customHeight="1" spans="1:19" x14ac:dyDescent="0.25">
      <c r="A23" s="109"/>
      <c r="B23" s="110" t="s">
        <v>55</v>
      </c>
      <c r="C23" s="111"/>
      <c r="D23" s="112">
        <f>Q10</f>
        <v>0.6734250543084721</v>
      </c>
      <c r="E23" s="112">
        <f>Q11</f>
        <v>0.1346850108616944</v>
      </c>
      <c r="F23" s="112">
        <f>Q12</f>
        <v>0.07758353160235854</v>
      </c>
      <c r="G23" s="113">
        <f>Q13</f>
        <v>0.056118754525706006</v>
      </c>
      <c r="H23" s="114"/>
      <c r="I23" s="113">
        <f>Q14</f>
        <v>0.05818764870176891</v>
      </c>
      <c r="J23" s="115"/>
      <c r="L23" s="97" t="s">
        <v>49</v>
      </c>
      <c r="M23" s="97"/>
      <c r="N23" s="97"/>
      <c r="O23" s="97"/>
      <c r="P23" s="97"/>
      <c r="Q23" s="97"/>
      <c r="R23" s="97"/>
      <c r="S23" s="1"/>
    </row>
    <row r="24" ht="18.75" customHeight="1" spans="1:19" x14ac:dyDescent="0.25">
      <c r="A24" s="116"/>
      <c r="B24" s="117" t="s">
        <v>56</v>
      </c>
      <c r="C24" s="118">
        <f>G11</f>
        <v>9159.999999999998</v>
      </c>
      <c r="D24" s="119">
        <f>G18*$D$23</f>
        <v>73279.99999999999</v>
      </c>
      <c r="E24" s="119">
        <f>G18*$E$23</f>
        <v>14655.999999999996</v>
      </c>
      <c r="F24" s="119">
        <f>G18*$F$23</f>
        <v>8442.396313364054</v>
      </c>
      <c r="G24" s="120">
        <f>G18*$G$23</f>
        <v>6106.666666666665</v>
      </c>
      <c r="H24" s="121"/>
      <c r="I24" s="122">
        <f>G18*$I$23</f>
        <v>6331.797235023041</v>
      </c>
      <c r="J24" s="123"/>
      <c r="L24" s="97" t="s">
        <v>54</v>
      </c>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73279.99999999999</v>
      </c>
      <c r="M27" s="133">
        <f>E24*5</f>
        <v>73279.99999999999</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113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94</v>
      </c>
      <c r="C8" s="45"/>
      <c r="D8" s="46" t="s">
        <v>95</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146013.23315016262</v>
      </c>
      <c r="F11" s="69" t="s">
        <v>31</v>
      </c>
      <c r="G11" s="70">
        <f>E11/8</f>
        <v>18251.654143770327</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200000</v>
      </c>
      <c r="H18" s="92" t="s">
        <v>43</v>
      </c>
      <c r="I18" s="92"/>
      <c r="J18" s="93"/>
      <c r="L18" s="21"/>
      <c r="M18" s="85"/>
      <c r="P18" s="59"/>
      <c r="S18" s="6"/>
    </row>
    <row r="19" ht="15.75" customHeight="1" spans="1:19" x14ac:dyDescent="0.25">
      <c r="A19" s="50"/>
      <c r="B19" s="94" t="s">
        <v>97</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193" t="s">
        <v>98</v>
      </c>
      <c r="C21" s="194"/>
      <c r="D21" s="194"/>
      <c r="E21" s="194"/>
      <c r="F21" s="194"/>
      <c r="G21" s="194"/>
      <c r="H21" s="194"/>
      <c r="I21" s="194"/>
      <c r="J21" s="195"/>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18251.654143770327</v>
      </c>
      <c r="D24" s="119">
        <f>G18*$D$23</f>
        <v>146013.23315016262</v>
      </c>
      <c r="E24" s="119">
        <f>G18*$E$23</f>
        <v>29202.64663003252</v>
      </c>
      <c r="F24" s="119">
        <f>G18*$F$23</f>
        <v>0</v>
      </c>
      <c r="G24" s="120">
        <f>G18*$G$23</f>
        <v>12167.769429180216</v>
      </c>
      <c r="H24" s="121"/>
      <c r="I24" s="122">
        <f>G18*$I$23</f>
        <v>12616.35079062465</v>
      </c>
      <c r="J24" s="123"/>
      <c r="L24" s="97"/>
      <c r="M24" s="97"/>
      <c r="N24" s="97"/>
      <c r="O24" s="97"/>
      <c r="P24" s="97"/>
      <c r="Q24" s="97"/>
      <c r="R24" s="97"/>
      <c r="S24" s="1"/>
    </row>
    <row r="25" ht="54.75" customHeight="1" spans="1:19" x14ac:dyDescent="0.25">
      <c r="A25" s="102" t="s">
        <v>57</v>
      </c>
      <c r="B25" s="130" t="s">
        <v>99</v>
      </c>
      <c r="C25" s="131"/>
      <c r="D25" s="131"/>
      <c r="E25" s="131"/>
      <c r="F25" s="131"/>
      <c r="G25" s="131"/>
      <c r="H25" s="131"/>
      <c r="I25" s="131"/>
      <c r="J25" s="132"/>
      <c r="L25" s="97" t="s">
        <v>3</v>
      </c>
      <c r="M25" s="97"/>
      <c r="N25" s="97"/>
      <c r="O25" s="97"/>
      <c r="P25" s="97"/>
      <c r="Q25" s="98"/>
      <c r="S25" s="1"/>
    </row>
    <row r="26" ht="66.75" customHeight="1" spans="1:19" x14ac:dyDescent="0.25">
      <c r="A26" s="50"/>
      <c r="B26" s="51"/>
      <c r="C26" s="52"/>
      <c r="D26" s="52"/>
      <c r="E26" s="52"/>
      <c r="F26" s="52"/>
      <c r="G26" s="52"/>
      <c r="H26" s="52"/>
      <c r="I26" s="52"/>
      <c r="J26" s="53"/>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146013.23315016262</v>
      </c>
      <c r="M27" s="133">
        <f>E24*5</f>
        <v>146013.2331501626</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100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96"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101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102</v>
      </c>
      <c r="C45" s="160"/>
      <c r="D45" s="160"/>
      <c r="E45" s="160"/>
      <c r="F45" s="160"/>
      <c r="G45" s="160"/>
      <c r="H45" s="160"/>
      <c r="I45" s="160"/>
      <c r="J45" s="161"/>
      <c r="S45" s="1"/>
    </row>
    <row r="46" ht="19.5" customHeight="1" spans="1:19" x14ac:dyDescent="0.25">
      <c r="A46" s="162" t="s">
        <v>103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104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75</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O55" sqref="O55"/>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3"/>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9</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17</v>
      </c>
      <c r="C8" s="45"/>
      <c r="D8" s="46" t="s">
        <v>18</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175150.6672406371</v>
      </c>
      <c r="F11" s="69" t="s">
        <v>31</v>
      </c>
      <c r="G11" s="70">
        <f>E11/8</f>
        <v>21893.833405079637</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76">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42</v>
      </c>
      <c r="C18" s="90"/>
      <c r="D18" s="90"/>
      <c r="E18" s="90"/>
      <c r="F18" s="90"/>
      <c r="G18" s="91">
        <v>250000</v>
      </c>
      <c r="H18" s="92" t="s">
        <v>43</v>
      </c>
      <c r="I18" s="92"/>
      <c r="J18" s="93"/>
      <c r="L18" s="21"/>
      <c r="M18" s="85"/>
      <c r="P18" s="59"/>
      <c r="S18" s="6"/>
    </row>
    <row r="19" ht="15.75" customHeight="1" spans="1:19" x14ac:dyDescent="0.25">
      <c r="A19" s="50"/>
      <c r="B19" s="94" t="s">
        <v>44</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48</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21893.833405079637</v>
      </c>
      <c r="D24" s="119">
        <f>G18*$D$23</f>
        <v>175150.6672406371</v>
      </c>
      <c r="E24" s="119">
        <f>G18*$E$23</f>
        <v>35030.13344812742</v>
      </c>
      <c r="F24" s="119">
        <f>G18*$F$23</f>
        <v>10089.324149806285</v>
      </c>
      <c r="G24" s="120">
        <f>G18*$G$23</f>
        <v>14595.888936719759</v>
      </c>
      <c r="H24" s="121"/>
      <c r="I24" s="122">
        <f>G18*$I$23</f>
        <v>15133.986224709428</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175150.6672406371</v>
      </c>
      <c r="M27" s="133">
        <f>E24*5</f>
        <v>175150.6672406371</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67</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58" t="s">
        <v>69</v>
      </c>
      <c r="C41" s="17"/>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76</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78</v>
      </c>
      <c r="C45" s="160"/>
      <c r="D45" s="160"/>
      <c r="E45" s="160"/>
      <c r="F45" s="160"/>
      <c r="G45" s="160"/>
      <c r="H45" s="160"/>
      <c r="I45" s="160"/>
      <c r="J45" s="161"/>
      <c r="S45" s="1"/>
    </row>
    <row r="46" ht="19.5" customHeight="1" spans="1:19" x14ac:dyDescent="0.25">
      <c r="A46" s="162" t="s">
        <v>79</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84</v>
      </c>
      <c r="H48" s="172"/>
      <c r="I48" s="172"/>
      <c r="J48" s="173"/>
      <c r="S48" s="6"/>
    </row>
    <row r="49" ht="23.25" customHeight="1" spans="1:19" x14ac:dyDescent="0.25">
      <c r="A49" s="174" t="s">
        <v>85</v>
      </c>
      <c r="B49" s="175"/>
      <c r="C49" s="176" t="s">
        <v>86</v>
      </c>
      <c r="D49" s="176"/>
      <c r="E49" s="176"/>
      <c r="F49" s="177" t="s">
        <v>87</v>
      </c>
      <c r="G49" s="178"/>
      <c r="H49" s="178"/>
      <c r="I49" s="178"/>
      <c r="J49" s="179"/>
      <c r="S49" s="6"/>
    </row>
    <row r="50" ht="23.25" customHeight="1" spans="1:19" x14ac:dyDescent="0.25">
      <c r="A50" s="174" t="s">
        <v>88</v>
      </c>
      <c r="B50" s="175"/>
      <c r="C50" s="180" t="s">
        <v>89</v>
      </c>
      <c r="D50" s="181"/>
      <c r="E50" s="182"/>
      <c r="F50" s="183" t="s">
        <v>90</v>
      </c>
      <c r="G50" s="178"/>
      <c r="H50" s="178"/>
      <c r="I50" s="178"/>
      <c r="J50" s="179"/>
      <c r="S50" s="6"/>
    </row>
    <row r="51" ht="23.25" customHeight="1" spans="1:19" x14ac:dyDescent="0.25">
      <c r="A51" s="184" t="s">
        <v>91</v>
      </c>
      <c r="B51" s="185"/>
      <c r="C51" s="186" t="s">
        <v>92</v>
      </c>
      <c r="D51" s="187"/>
      <c r="E51" s="188"/>
      <c r="F51" s="189" t="s">
        <v>93</v>
      </c>
      <c r="G51" s="190"/>
      <c r="H51" s="190"/>
      <c r="I51" s="190"/>
      <c r="J51" s="191"/>
      <c r="S51" s="6"/>
    </row>
  </sheetData>
  <mergeCells count="85">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086614173228347" right="0.7086614173228347" top="0.3937007874015748" bottom="0.5905511811023623" header="0.31496062992125984" footer="0.31496062992125984"/>
  <pageSetup paperSize="9" orientation="portrait" horizontalDpi="4294967295" verticalDpi="4294967295" scale="67"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8시간(8hx6)_1월</vt:lpstr>
      <vt:lpstr>8시간(8hx6)_2월</vt:lpstr>
      <vt:lpstr>8시간(8hx6)_3월</vt:lpstr>
      <vt:lpstr>8시간(8hx6)_4월</vt:lpstr>
      <vt:lpstr>8시간(8hx6)_5월</vt:lpstr>
      <vt:lpstr>8시간(8hx6)_6월</vt:lpstr>
      <vt:lpstr>8시간(8hx6)_7월</vt:lpstr>
      <vt:lpstr>8시간(8hx6)_8월</vt:lpstr>
      <vt:lpstr>8시간(8hx6)_9월</vt:lpstr>
      <vt:lpstr>8시간(8hx6)_10월</vt:lpstr>
      <vt:lpstr>8시간(8hx6)_11월</vt:lpstr>
      <vt:lpstr>8시간(8hx6)_12월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강신의</dc:creator>
  <cp:lastModifiedBy>wf</cp:lastModifiedBy>
  <cp:lastPrinted>2025-05-07T06:53:55Z</cp:lastPrinted>
  <dcterms:created xsi:type="dcterms:W3CDTF">2020-12-28T02:27:46Z</dcterms:created>
  <dcterms:modified xsi:type="dcterms:W3CDTF">2025-06-17T08:16:00Z</dcterms:modified>
</cp:coreProperties>
</file>