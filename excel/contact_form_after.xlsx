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내보내기 요약" sheetId="1" r:id="rId4"/>
    <sheet name="8시간(8hx6)_1월" sheetId="2" r:id="rId5"/>
    <sheet name="8시간(8hx6)_2월" sheetId="3" r:id="rId6"/>
    <sheet name="8시간(8hx6)_3월" sheetId="4" r:id="rId7"/>
    <sheet name="8시간(8hx6)_4월" sheetId="5" r:id="rId8"/>
    <sheet name="8시간(8hx6)_5월" sheetId="6" r:id="rId9"/>
    <sheet name="8시간(8hx6)_6월" sheetId="7" r:id="rId10"/>
    <sheet name="8시간(8hx6)_7월" sheetId="8" r:id="rId11"/>
    <sheet name="8시간(8hx6)_8월" sheetId="9" r:id="rId12"/>
    <sheet name="8시간(8hx6)_9월" sheetId="10" r:id="rId13"/>
    <sheet name="8시간(8hx6)_10월" sheetId="11" r:id="rId14"/>
    <sheet name="8시간(8hx6)_11월" sheetId="12" r:id="rId15"/>
    <sheet name="8시간(8hx6)_12월" sheetId="13" r:id="rId16"/>
  </sheets>
</workbook>
</file>

<file path=xl/comments1.xml><?xml version="1.0" encoding="utf-8"?>
<comments xmlns="http://schemas.openxmlformats.org/spreadsheetml/2006/main">
  <authors>
    <author>전혜선</author>
    <author>이준희</author>
    <author>USER</author>
    <author>user</author>
    <author>대표님</author>
  </authors>
  <commentList>
    <comment ref="M10" authorId="0">
      <text>
        <r>
          <rPr>
            <sz val="11"/>
            <color indexed="8"/>
            <rFont val="Helvetica Neue"/>
          </rPr>
          <t>전혜선:
주40h+토요기본8h</t>
        </r>
      </text>
    </comment>
    <comment ref="O12" authorId="1">
      <text>
        <r>
          <rPr>
            <sz val="11"/>
            <color indexed="8"/>
            <rFont val="Helvetica Neue"/>
          </rPr>
          <t xml:space="preserve">이준희:
월별로 일수 수정필요
2021년 1월의 경우 1일, 2월의 경우 2일
</t>
        </r>
      </text>
    </comment>
    <comment ref="G18" authorId="2">
      <text>
        <r>
          <rPr>
            <sz val="11"/>
            <color indexed="8"/>
            <rFont val="Helvetica Neue"/>
          </rPr>
          <t xml:space="preserve">USER:
이곳에 포괄일당을 기재하시면 기본일당과 법정수당이 자동산정됩니다. </t>
        </r>
      </text>
    </comment>
    <comment ref="G22" authorId="3">
      <text>
        <r>
          <rPr>
            <sz val="11"/>
            <color indexed="8"/>
            <rFont val="Helvetica Neue"/>
          </rPr>
          <t>user:
토요일에 근무하고 일요일에 추가로 근무하는 경우 추가공수 지급되어야 함.
토요일에 근무하지 않고, 일요일에 근무하는 경우에는 1공수 지급</t>
        </r>
      </text>
    </comment>
    <comment ref="I22" authorId="3">
      <text>
        <r>
          <rPr>
            <sz val="11"/>
            <color indexed="8"/>
            <rFont val="Helvetica Neue"/>
          </rPr>
          <t xml:space="preserve">user:
고용노동부포괄임금 지침에서 연차휴가수당 사전매수로 포괄일당에 포함불가. 다만 법원에서는 포괄 인정하는 판례있음
</t>
        </r>
      </text>
    </comment>
    <comment ref="E24" authorId="4">
      <text>
        <r>
          <rPr>
            <sz val="11"/>
            <color indexed="8"/>
            <rFont val="Helvetica Neue"/>
          </rPr>
          <t>대표님:
주휴수당 x 5일 = 기본일당</t>
        </r>
      </text>
    </comment>
  </commentList>
</comments>
</file>

<file path=xl/comments2.xml><?xml version="1.0" encoding="utf-8"?>
<comments xmlns="http://schemas.openxmlformats.org/spreadsheetml/2006/main">
  <authors>
    <author>전혜선</author>
    <author>이준희</author>
    <author>USER</author>
    <author>user</author>
    <author>대표님</author>
  </authors>
  <commentList>
    <comment ref="M10" authorId="0">
      <text>
        <r>
          <rPr>
            <sz val="11"/>
            <color indexed="8"/>
            <rFont val="Helvetica Neue"/>
          </rPr>
          <t>전혜선:
주40h+토요기본8h</t>
        </r>
      </text>
    </comment>
    <comment ref="O12" authorId="1">
      <text>
        <r>
          <rPr>
            <sz val="11"/>
            <color indexed="8"/>
            <rFont val="Helvetica Neue"/>
          </rPr>
          <t xml:space="preserve">이준희:
월별로 일수 수정필요
2021년 1월의 경우 1일, 2월의 경우 2일
</t>
        </r>
      </text>
    </comment>
    <comment ref="G18" authorId="2">
      <text>
        <r>
          <rPr>
            <sz val="11"/>
            <color indexed="8"/>
            <rFont val="Helvetica Neue"/>
          </rPr>
          <t xml:space="preserve">USER:
이곳에 포괄일당을 기재하시면 기본일당과 법정수당이 자동산정됩니다. </t>
        </r>
      </text>
    </comment>
    <comment ref="G22" authorId="3">
      <text>
        <r>
          <rPr>
            <sz val="11"/>
            <color indexed="8"/>
            <rFont val="Helvetica Neue"/>
          </rPr>
          <t>user:
토요일에 근무하고 일요일에 추가로 근무하는 경우 추가공수 지급되어야 함.
토요일에 근무하지 않고, 일요일에 근무하는 경우에는 1공수 지급</t>
        </r>
      </text>
    </comment>
    <comment ref="I22" authorId="3">
      <text>
        <r>
          <rPr>
            <sz val="11"/>
            <color indexed="8"/>
            <rFont val="Helvetica Neue"/>
          </rPr>
          <t xml:space="preserve">user:
고용노동부포괄임금 지침에서 연차휴가수당 사전매수로 포괄일당에 포함불가. 다만 법원에서는 포괄 인정하는 판례있음
</t>
        </r>
      </text>
    </comment>
    <comment ref="E24" authorId="4">
      <text>
        <r>
          <rPr>
            <sz val="11"/>
            <color indexed="8"/>
            <rFont val="Helvetica Neue"/>
          </rPr>
          <t>대표님:
주휴수당 x 5일 = 기본일당</t>
        </r>
      </text>
    </comment>
  </commentList>
</comments>
</file>

<file path=xl/comments3.xml><?xml version="1.0" encoding="utf-8"?>
<comments xmlns="http://schemas.openxmlformats.org/spreadsheetml/2006/main">
  <authors>
    <author>전혜선</author>
    <author>이준희</author>
    <author>USER</author>
    <author>user</author>
    <author>대표님</author>
  </authors>
  <commentList>
    <comment ref="M10" authorId="0">
      <text>
        <r>
          <rPr>
            <sz val="11"/>
            <color indexed="8"/>
            <rFont val="Helvetica Neue"/>
          </rPr>
          <t>전혜선:
주40h+토요기본8h</t>
        </r>
      </text>
    </comment>
    <comment ref="O12" authorId="1">
      <text>
        <r>
          <rPr>
            <sz val="11"/>
            <color indexed="8"/>
            <rFont val="Helvetica Neue"/>
          </rPr>
          <t xml:space="preserve">이준희:
월별로 일수 수정필요
2021년 1월의 경우 1일, 2월의 경우 2일
</t>
        </r>
      </text>
    </comment>
    <comment ref="G18" authorId="2">
      <text>
        <r>
          <rPr>
            <sz val="11"/>
            <color indexed="8"/>
            <rFont val="Helvetica Neue"/>
          </rPr>
          <t xml:space="preserve">USER:
이곳에 포괄일당을 기재하시면 기본일당과 법정수당이 자동산정됩니다. </t>
        </r>
      </text>
    </comment>
    <comment ref="G22" authorId="3">
      <text>
        <r>
          <rPr>
            <sz val="11"/>
            <color indexed="8"/>
            <rFont val="Helvetica Neue"/>
          </rPr>
          <t>user:
토요일에 근무하고 일요일에 추가로 근무하는 경우 추가공수 지급되어야 함.
토요일에 근무하지 않고, 일요일에 근무하는 경우에는 1공수 지급</t>
        </r>
      </text>
    </comment>
    <comment ref="I22" authorId="3">
      <text>
        <r>
          <rPr>
            <sz val="11"/>
            <color indexed="8"/>
            <rFont val="Helvetica Neue"/>
          </rPr>
          <t xml:space="preserve">user:
고용노동부포괄임금 지침에서 연차휴가수당 사전매수로 포괄일당에 포함불가. 다만 법원에서는 포괄 인정하는 판례있음
</t>
        </r>
      </text>
    </comment>
    <comment ref="E24" authorId="4">
      <text>
        <r>
          <rPr>
            <sz val="11"/>
            <color indexed="8"/>
            <rFont val="Helvetica Neue"/>
          </rPr>
          <t>대표님:
주휴수당 x 5일 = 기본일당</t>
        </r>
      </text>
    </comment>
  </commentList>
</comments>
</file>

<file path=xl/comments4.xml><?xml version="1.0" encoding="utf-8"?>
<comments xmlns="http://schemas.openxmlformats.org/spreadsheetml/2006/main">
  <authors>
    <author>전혜선</author>
    <author>이준희</author>
    <author>USER</author>
    <author>user</author>
    <author>대표님</author>
  </authors>
  <commentList>
    <comment ref="M10" authorId="0">
      <text>
        <r>
          <rPr>
            <sz val="11"/>
            <color indexed="8"/>
            <rFont val="Helvetica Neue"/>
          </rPr>
          <t>전혜선:
주40h+토요기본8h</t>
        </r>
      </text>
    </comment>
    <comment ref="O12" authorId="1">
      <text>
        <r>
          <rPr>
            <sz val="11"/>
            <color indexed="8"/>
            <rFont val="Helvetica Neue"/>
          </rPr>
          <t xml:space="preserve">이준희:
월별로 일수 수정필요
2021년 1월의 경우 1일, 2월의 경우 2일
</t>
        </r>
      </text>
    </comment>
    <comment ref="G18" authorId="2">
      <text>
        <r>
          <rPr>
            <sz val="11"/>
            <color indexed="8"/>
            <rFont val="Helvetica Neue"/>
          </rPr>
          <t xml:space="preserve">USER:
이곳에 포괄일당을 기재하시면 기본일당과 법정수당이 자동산정됩니다. </t>
        </r>
      </text>
    </comment>
    <comment ref="G22" authorId="3">
      <text>
        <r>
          <rPr>
            <sz val="11"/>
            <color indexed="8"/>
            <rFont val="Helvetica Neue"/>
          </rPr>
          <t>user:
토요일에 근무하고 일요일에 추가로 근무하는 경우 추가공수 지급되어야 함.
토요일에 근무하지 않고, 일요일에 근무하는 경우에는 1공수 지급</t>
        </r>
      </text>
    </comment>
    <comment ref="I22" authorId="3">
      <text>
        <r>
          <rPr>
            <sz val="11"/>
            <color indexed="8"/>
            <rFont val="Helvetica Neue"/>
          </rPr>
          <t xml:space="preserve">user:
고용노동부포괄임금 지침에서 연차휴가수당 사전매수로 포괄일당에 포함불가. 다만 법원에서는 포괄 인정하는 판례있음
</t>
        </r>
      </text>
    </comment>
    <comment ref="E24" authorId="4">
      <text>
        <r>
          <rPr>
            <sz val="11"/>
            <color indexed="8"/>
            <rFont val="Helvetica Neue"/>
          </rPr>
          <t>대표님:
주휴수당 x 5일 = 기본일당</t>
        </r>
      </text>
    </comment>
  </commentList>
</comments>
</file>

<file path=xl/comments5.xml><?xml version="1.0" encoding="utf-8"?>
<comments xmlns="http://schemas.openxmlformats.org/spreadsheetml/2006/main">
  <authors>
    <author>전혜선</author>
    <author>이준희</author>
    <author>USER</author>
    <author>user</author>
    <author>대표님</author>
  </authors>
  <commentList>
    <comment ref="M10" authorId="0">
      <text>
        <r>
          <rPr>
            <sz val="11"/>
            <color indexed="8"/>
            <rFont val="Helvetica Neue"/>
          </rPr>
          <t>전혜선:
주40h+토요기본8h</t>
        </r>
      </text>
    </comment>
    <comment ref="O12" authorId="1">
      <text>
        <r>
          <rPr>
            <sz val="11"/>
            <color indexed="8"/>
            <rFont val="Helvetica Neue"/>
          </rPr>
          <t xml:space="preserve">이준희:
월별로 일수 수정필요
2021년 1월의 경우 1일, 2월의 경우 2일
</t>
        </r>
      </text>
    </comment>
    <comment ref="G18" authorId="2">
      <text>
        <r>
          <rPr>
            <sz val="11"/>
            <color indexed="8"/>
            <rFont val="Helvetica Neue"/>
          </rPr>
          <t xml:space="preserve">USER:
이곳에 포괄일당을 기재하시면 기본일당과 법정수당이 자동산정됩니다. </t>
        </r>
      </text>
    </comment>
    <comment ref="G22" authorId="3">
      <text>
        <r>
          <rPr>
            <sz val="11"/>
            <color indexed="8"/>
            <rFont val="Helvetica Neue"/>
          </rPr>
          <t>user:
토요일에 근무하고 일요일에 추가로 근무하는 경우 추가공수 지급되어야 함.
토요일에 근무하지 않고, 일요일에 근무하는 경우에는 1공수 지급</t>
        </r>
      </text>
    </comment>
    <comment ref="I22" authorId="3">
      <text>
        <r>
          <rPr>
            <sz val="11"/>
            <color indexed="8"/>
            <rFont val="Helvetica Neue"/>
          </rPr>
          <t xml:space="preserve">user:
고용노동부포괄임금 지침에서 연차휴가수당 사전매수로 포괄일당에 포함불가. 다만 법원에서는 포괄 인정하는 판례있음
</t>
        </r>
      </text>
    </comment>
    <comment ref="E24" authorId="4">
      <text>
        <r>
          <rPr>
            <sz val="11"/>
            <color indexed="8"/>
            <rFont val="Helvetica Neue"/>
          </rPr>
          <t>대표님:
주휴수당 x 5일 = 기본일당</t>
        </r>
      </text>
    </comment>
  </commentList>
</comments>
</file>

<file path=xl/comments6.xml><?xml version="1.0" encoding="utf-8"?>
<comments xmlns="http://schemas.openxmlformats.org/spreadsheetml/2006/main">
  <authors>
    <author>전혜선</author>
    <author>이준희</author>
    <author>USER</author>
    <author>user</author>
    <author>대표님</author>
  </authors>
  <commentList>
    <comment ref="M10" authorId="0">
      <text>
        <r>
          <rPr>
            <sz val="11"/>
            <color indexed="8"/>
            <rFont val="Helvetica Neue"/>
          </rPr>
          <t>전혜선:
주40h+토요기본8h</t>
        </r>
      </text>
    </comment>
    <comment ref="O12" authorId="1">
      <text>
        <r>
          <rPr>
            <sz val="11"/>
            <color indexed="8"/>
            <rFont val="Helvetica Neue"/>
          </rPr>
          <t xml:space="preserve">이준희:
월별로 일수 수정필요
2021년 1월의 경우 1일, 2월의 경우 2일
</t>
        </r>
      </text>
    </comment>
    <comment ref="G18" authorId="2">
      <text>
        <r>
          <rPr>
            <sz val="11"/>
            <color indexed="8"/>
            <rFont val="Helvetica Neue"/>
          </rPr>
          <t xml:space="preserve">USER:
이곳에 포괄일당을 기재하시면 기본일당과 법정수당이 자동산정됩니다. </t>
        </r>
      </text>
    </comment>
    <comment ref="G22" authorId="3">
      <text>
        <r>
          <rPr>
            <sz val="11"/>
            <color indexed="8"/>
            <rFont val="Helvetica Neue"/>
          </rPr>
          <t>user:
토요일에 근무하고 일요일에 추가로 근무하는 경우 추가공수 지급되어야 함.
토요일에 근무하지 않고, 일요일에 근무하는 경우에는 1공수 지급</t>
        </r>
      </text>
    </comment>
    <comment ref="I22" authorId="3">
      <text>
        <r>
          <rPr>
            <sz val="11"/>
            <color indexed="8"/>
            <rFont val="Helvetica Neue"/>
          </rPr>
          <t xml:space="preserve">user:
고용노동부포괄임금 지침에서 연차휴가수당 사전매수로 포괄일당에 포함불가. 다만 법원에서는 포괄 인정하는 판례있음
</t>
        </r>
      </text>
    </comment>
    <comment ref="E24" authorId="4">
      <text>
        <r>
          <rPr>
            <sz val="11"/>
            <color indexed="8"/>
            <rFont val="Helvetica Neue"/>
          </rPr>
          <t>대표님:
주휴수당 x 5일 = 기본일당</t>
        </r>
      </text>
    </comment>
  </commentList>
</comments>
</file>

<file path=xl/comments7.xml><?xml version="1.0" encoding="utf-8"?>
<comments xmlns="http://schemas.openxmlformats.org/spreadsheetml/2006/main">
  <authors>
    <author>전혜선</author>
    <author>이준희</author>
    <author>USER</author>
    <author>user</author>
    <author>대표님</author>
  </authors>
  <commentList>
    <comment ref="M10" authorId="0">
      <text>
        <r>
          <rPr>
            <sz val="11"/>
            <color indexed="8"/>
            <rFont val="Helvetica Neue"/>
          </rPr>
          <t>전혜선:
주40h+토요기본8h</t>
        </r>
      </text>
    </comment>
    <comment ref="O12" authorId="1">
      <text>
        <r>
          <rPr>
            <sz val="11"/>
            <color indexed="8"/>
            <rFont val="Helvetica Neue"/>
          </rPr>
          <t xml:space="preserve">이준희:
월별로 일수 수정필요
2021년 1월의 경우 1일, 2월의 경우 2일
</t>
        </r>
      </text>
    </comment>
    <comment ref="G18" authorId="2">
      <text>
        <r>
          <rPr>
            <sz val="11"/>
            <color indexed="8"/>
            <rFont val="Helvetica Neue"/>
          </rPr>
          <t xml:space="preserve">USER:
이곳에 포괄일당을 기재하시면 기본일당과 법정수당이 자동산정됩니다. </t>
        </r>
      </text>
    </comment>
    <comment ref="G22" authorId="3">
      <text>
        <r>
          <rPr>
            <sz val="11"/>
            <color indexed="8"/>
            <rFont val="Helvetica Neue"/>
          </rPr>
          <t>user:
토요일에 근무하고 일요일에 추가로 근무하는 경우 추가공수 지급되어야 함.
토요일에 근무하지 않고, 일요일에 근무하는 경우에는 1공수 지급</t>
        </r>
      </text>
    </comment>
    <comment ref="I22" authorId="3">
      <text>
        <r>
          <rPr>
            <sz val="11"/>
            <color indexed="8"/>
            <rFont val="Helvetica Neue"/>
          </rPr>
          <t xml:space="preserve">user:
고용노동부포괄임금 지침에서 연차휴가수당 사전매수로 포괄일당에 포함불가. 다만 법원에서는 포괄 인정하는 판례있음
</t>
        </r>
      </text>
    </comment>
    <comment ref="E24" authorId="4">
      <text>
        <r>
          <rPr>
            <sz val="11"/>
            <color indexed="8"/>
            <rFont val="Helvetica Neue"/>
          </rPr>
          <t>대표님:
주휴수당 x 5일 = 기본일당</t>
        </r>
      </text>
    </comment>
  </commentList>
</comments>
</file>

<file path=xl/comments8.xml><?xml version="1.0" encoding="utf-8"?>
<comments xmlns="http://schemas.openxmlformats.org/spreadsheetml/2006/main">
  <authors>
    <author>전혜선</author>
    <author>이준희</author>
    <author>USER</author>
    <author>user</author>
    <author>대표님</author>
  </authors>
  <commentList>
    <comment ref="M10" authorId="0">
      <text>
        <r>
          <rPr>
            <sz val="11"/>
            <color indexed="8"/>
            <rFont val="Helvetica Neue"/>
          </rPr>
          <t>전혜선:
주40h+토요기본8h</t>
        </r>
      </text>
    </comment>
    <comment ref="O12" authorId="1">
      <text>
        <r>
          <rPr>
            <sz val="11"/>
            <color indexed="8"/>
            <rFont val="Helvetica Neue"/>
          </rPr>
          <t xml:space="preserve">이준희:
월별로 일수 수정필요
2021년 1월의 경우 1일, 2월의 경우 2일
</t>
        </r>
      </text>
    </comment>
    <comment ref="G18" authorId="2">
      <text>
        <r>
          <rPr>
            <sz val="11"/>
            <color indexed="8"/>
            <rFont val="Helvetica Neue"/>
          </rPr>
          <t xml:space="preserve">USER:
이곳에 포괄일당을 기재하시면 기본일당과 법정수당이 자동산정됩니다. </t>
        </r>
      </text>
    </comment>
    <comment ref="G22" authorId="3">
      <text>
        <r>
          <rPr>
            <sz val="11"/>
            <color indexed="8"/>
            <rFont val="Helvetica Neue"/>
          </rPr>
          <t>user:
토요일에 근무하고 일요일에 추가로 근무하는 경우 추가공수 지급되어야 함.
토요일에 근무하지 않고, 일요일에 근무하는 경우에는 1공수 지급</t>
        </r>
      </text>
    </comment>
    <comment ref="I22" authorId="3">
      <text>
        <r>
          <rPr>
            <sz val="11"/>
            <color indexed="8"/>
            <rFont val="Helvetica Neue"/>
          </rPr>
          <t xml:space="preserve">user:
고용노동부포괄임금 지침에서 연차휴가수당 사전매수로 포괄일당에 포함불가. 다만 법원에서는 포괄 인정하는 판례있음
</t>
        </r>
      </text>
    </comment>
    <comment ref="E24" authorId="4">
      <text>
        <r>
          <rPr>
            <sz val="11"/>
            <color indexed="8"/>
            <rFont val="Helvetica Neue"/>
          </rPr>
          <t>대표님:
주휴수당 x 5일 = 기본일당</t>
        </r>
      </text>
    </comment>
  </commentList>
</comments>
</file>

<file path=xl/comments9.xml><?xml version="1.0" encoding="utf-8"?>
<comments xmlns="http://schemas.openxmlformats.org/spreadsheetml/2006/main">
  <authors>
    <author>전혜선</author>
    <author>이준희</author>
    <author>USER</author>
    <author>user</author>
    <author>대표님</author>
  </authors>
  <commentList>
    <comment ref="M10" authorId="0">
      <text>
        <r>
          <rPr>
            <sz val="11"/>
            <color indexed="8"/>
            <rFont val="Helvetica Neue"/>
          </rPr>
          <t>전혜선:
주40h+토요기본8h</t>
        </r>
      </text>
    </comment>
    <comment ref="O12" authorId="1">
      <text>
        <r>
          <rPr>
            <sz val="11"/>
            <color indexed="8"/>
            <rFont val="Helvetica Neue"/>
          </rPr>
          <t xml:space="preserve">이준희:
월별로 일수 수정필요
2021년 1월의 경우 1일, 2월의 경우 2일
</t>
        </r>
      </text>
    </comment>
    <comment ref="G18" authorId="2">
      <text>
        <r>
          <rPr>
            <sz val="11"/>
            <color indexed="8"/>
            <rFont val="Helvetica Neue"/>
          </rPr>
          <t xml:space="preserve">USER:
이곳에 포괄일당을 기재하시면 기본일당과 법정수당이 자동산정됩니다. </t>
        </r>
      </text>
    </comment>
    <comment ref="G22" authorId="3">
      <text>
        <r>
          <rPr>
            <sz val="11"/>
            <color indexed="8"/>
            <rFont val="Helvetica Neue"/>
          </rPr>
          <t>user:
토요일에 근무하고 일요일에 추가로 근무하는 경우 추가공수 지급되어야 함.
토요일에 근무하지 않고, 일요일에 근무하는 경우에는 1공수 지급</t>
        </r>
      </text>
    </comment>
    <comment ref="I22" authorId="3">
      <text>
        <r>
          <rPr>
            <sz val="11"/>
            <color indexed="8"/>
            <rFont val="Helvetica Neue"/>
          </rPr>
          <t xml:space="preserve">user:
고용노동부포괄임금 지침에서 연차휴가수당 사전매수로 포괄일당에 포함불가. 다만 법원에서는 포괄 인정하는 판례있음
</t>
        </r>
      </text>
    </comment>
    <comment ref="E24" authorId="4">
      <text>
        <r>
          <rPr>
            <sz val="11"/>
            <color indexed="8"/>
            <rFont val="Helvetica Neue"/>
          </rPr>
          <t>대표님:
주휴수당 x 5일 = 기본일당</t>
        </r>
      </text>
    </comment>
  </commentList>
</comments>
</file>

<file path=xl/comments10.xml><?xml version="1.0" encoding="utf-8"?>
<comments xmlns="http://schemas.openxmlformats.org/spreadsheetml/2006/main">
  <authors>
    <author>전혜선</author>
    <author>이준희</author>
    <author>USER</author>
    <author>user</author>
    <author>대표님</author>
  </authors>
  <commentList>
    <comment ref="M10" authorId="0">
      <text>
        <r>
          <rPr>
            <sz val="11"/>
            <color indexed="8"/>
            <rFont val="Helvetica Neue"/>
          </rPr>
          <t>전혜선:
주40h+토요기본8h</t>
        </r>
      </text>
    </comment>
    <comment ref="O12" authorId="1">
      <text>
        <r>
          <rPr>
            <sz val="11"/>
            <color indexed="8"/>
            <rFont val="Helvetica Neue"/>
          </rPr>
          <t xml:space="preserve">이준희:
월별로 일수 수정필요
2021년 1월의 경우 1일, 2월의 경우 2일
</t>
        </r>
      </text>
    </comment>
    <comment ref="G18" authorId="2">
      <text>
        <r>
          <rPr>
            <sz val="11"/>
            <color indexed="8"/>
            <rFont val="Helvetica Neue"/>
          </rPr>
          <t xml:space="preserve">USER:
이곳에 포괄일당을 기재하시면 기본일당과 법정수당이 자동산정됩니다. </t>
        </r>
      </text>
    </comment>
    <comment ref="G22" authorId="3">
      <text>
        <r>
          <rPr>
            <sz val="11"/>
            <color indexed="8"/>
            <rFont val="Helvetica Neue"/>
          </rPr>
          <t>user:
토요일에 근무하고 일요일에 추가로 근무하는 경우 추가공수 지급되어야 함.
토요일에 근무하지 않고, 일요일에 근무하는 경우에는 1공수 지급</t>
        </r>
      </text>
    </comment>
    <comment ref="I22" authorId="3">
      <text>
        <r>
          <rPr>
            <sz val="11"/>
            <color indexed="8"/>
            <rFont val="Helvetica Neue"/>
          </rPr>
          <t xml:space="preserve">user:
고용노동부포괄임금 지침에서 연차휴가수당 사전매수로 포괄일당에 포함불가. 다만 법원에서는 포괄 인정하는 판례있음
</t>
        </r>
      </text>
    </comment>
    <comment ref="E24" authorId="4">
      <text>
        <r>
          <rPr>
            <sz val="11"/>
            <color indexed="8"/>
            <rFont val="Helvetica Neue"/>
          </rPr>
          <t>대표님:
주휴수당 x 5일 = 기본일당</t>
        </r>
      </text>
    </comment>
  </commentList>
</comments>
</file>

<file path=xl/comments11.xml><?xml version="1.0" encoding="utf-8"?>
<comments xmlns="http://schemas.openxmlformats.org/spreadsheetml/2006/main">
  <authors>
    <author>전혜선</author>
    <author>이준희</author>
    <author>USER</author>
    <author>user</author>
    <author>대표님</author>
  </authors>
  <commentList>
    <comment ref="M10" authorId="0">
      <text>
        <r>
          <rPr>
            <sz val="11"/>
            <color indexed="8"/>
            <rFont val="Helvetica Neue"/>
          </rPr>
          <t>전혜선:
주40h+토요기본8h</t>
        </r>
      </text>
    </comment>
    <comment ref="O12" authorId="1">
      <text>
        <r>
          <rPr>
            <sz val="11"/>
            <color indexed="8"/>
            <rFont val="Helvetica Neue"/>
          </rPr>
          <t xml:space="preserve">이준희:
월별로 일수 수정필요
2021년 1월의 경우 1일, 2월의 경우 2일
</t>
        </r>
      </text>
    </comment>
    <comment ref="G18" authorId="2">
      <text>
        <r>
          <rPr>
            <sz val="11"/>
            <color indexed="8"/>
            <rFont val="Helvetica Neue"/>
          </rPr>
          <t xml:space="preserve">USER:
이곳에 포괄일당을 기재하시면 기본일당과 법정수당이 자동산정됩니다. </t>
        </r>
      </text>
    </comment>
    <comment ref="G22" authorId="3">
      <text>
        <r>
          <rPr>
            <sz val="11"/>
            <color indexed="8"/>
            <rFont val="Helvetica Neue"/>
          </rPr>
          <t>user:
토요일에 근무하고 일요일에 추가로 근무하는 경우 추가공수 지급되어야 함.
토요일에 근무하지 않고, 일요일에 근무하는 경우에는 1공수 지급</t>
        </r>
      </text>
    </comment>
    <comment ref="I22" authorId="3">
      <text>
        <r>
          <rPr>
            <sz val="11"/>
            <color indexed="8"/>
            <rFont val="Helvetica Neue"/>
          </rPr>
          <t xml:space="preserve">user:
고용노동부포괄임금 지침에서 연차휴가수당 사전매수로 포괄일당에 포함불가. 다만 법원에서는 포괄 인정하는 판례있음
</t>
        </r>
      </text>
    </comment>
    <comment ref="E24" authorId="4">
      <text>
        <r>
          <rPr>
            <sz val="11"/>
            <color indexed="8"/>
            <rFont val="Helvetica Neue"/>
          </rPr>
          <t>대표님:
주휴수당 x 5일 = 기본일당</t>
        </r>
      </text>
    </comment>
  </commentList>
</comments>
</file>

<file path=xl/comments12.xml><?xml version="1.0" encoding="utf-8"?>
<comments xmlns="http://schemas.openxmlformats.org/spreadsheetml/2006/main">
  <authors>
    <author>전혜선</author>
    <author>이준희</author>
    <author>USER</author>
    <author>user</author>
    <author>대표님</author>
  </authors>
  <commentList>
    <comment ref="M10" authorId="0">
      <text>
        <r>
          <rPr>
            <sz val="11"/>
            <color indexed="8"/>
            <rFont val="Helvetica Neue"/>
          </rPr>
          <t>전혜선:
주40h+토요기본8h</t>
        </r>
      </text>
    </comment>
    <comment ref="O12" authorId="1">
      <text>
        <r>
          <rPr>
            <sz val="11"/>
            <color indexed="8"/>
            <rFont val="Helvetica Neue"/>
          </rPr>
          <t xml:space="preserve">이준희:
월별로 일수 수정필요
2021년 1월의 경우 1일, 2월의 경우 2일
</t>
        </r>
      </text>
    </comment>
    <comment ref="G18" authorId="2">
      <text>
        <r>
          <rPr>
            <sz val="11"/>
            <color indexed="8"/>
            <rFont val="Helvetica Neue"/>
          </rPr>
          <t xml:space="preserve">USER:
이곳에 포괄일당을 기재하시면 기본일당과 법정수당이 자동산정됩니다. </t>
        </r>
      </text>
    </comment>
    <comment ref="G22" authorId="3">
      <text>
        <r>
          <rPr>
            <sz val="11"/>
            <color indexed="8"/>
            <rFont val="Helvetica Neue"/>
          </rPr>
          <t>user:
토요일에 근무하고 일요일에 추가로 근무하는 경우 추가공수 지급되어야 함.
토요일에 근무하지 않고, 일요일에 근무하는 경우에는 1공수 지급</t>
        </r>
      </text>
    </comment>
    <comment ref="I22" authorId="3">
      <text>
        <r>
          <rPr>
            <sz val="11"/>
            <color indexed="8"/>
            <rFont val="Helvetica Neue"/>
          </rPr>
          <t xml:space="preserve">user:
고용노동부포괄임금 지침에서 연차휴가수당 사전매수로 포괄일당에 포함불가. 다만 법원에서는 포괄 인정하는 판례있음
</t>
        </r>
      </text>
    </comment>
    <comment ref="E24" authorId="4">
      <text>
        <r>
          <rPr>
            <sz val="11"/>
            <color indexed="8"/>
            <rFont val="Helvetica Neue"/>
          </rPr>
          <t>대표님:
주휴수당 x 5일 = 기본일당</t>
        </r>
      </text>
    </comment>
  </commentList>
</comments>
</file>

<file path=xl/sharedStrings.xml><?xml version="1.0" encoding="utf-8"?>
<sst xmlns="http://schemas.openxmlformats.org/spreadsheetml/2006/main" uniqueCount="182">
  <si>
    <t>이 문서는 Numbers에서 내보낸 문서입니다. 각 표가 Excel 워크시트로 변환되었습니다. 각 Numbers 시트에 있는 모든 다른 대상체는 개별 워크시트에 위치 지정되었습니다. Excel에서 공식 계산이 다를 수 있으니 유의하십시오.</t>
  </si>
  <si>
    <t>Numbers 시트 이름</t>
  </si>
  <si>
    <t>Numbers 표 이름</t>
  </si>
  <si>
    <t>Excel 워크시트 이름</t>
  </si>
  <si>
    <t>8시간(8hx6)_1월</t>
  </si>
  <si>
    <t>표 1</t>
  </si>
  <si>
    <t>2025년 일용</t>
  </si>
  <si>
    <t>근로계약서 작성을 위한 기초 입력사항</t>
  </si>
  <si>
    <t>근 로 계 약 서</t>
  </si>
  <si>
    <t xml:space="preserve"> </t>
  </si>
  <si>
    <t>㈜강구토건 대표 이진호</t>
  </si>
  <si>
    <t xml:space="preserve"> (이하 "갑"이라 한다)과 </t>
  </si>
  <si>
    <t>input1</t>
  </si>
  <si>
    <t>(이하 ‘을’이라 한다)은  아래와  같이  근로조건을  정하고</t>
  </si>
  <si>
    <t xml:space="preserve">     이를 성실히 이행할 것을 약정한다.</t>
  </si>
  <si>
    <t>근로장소</t>
  </si>
  <si>
    <t>Input2</t>
  </si>
  <si>
    <t>직  종</t>
  </si>
  <si>
    <t>input3</t>
  </si>
  <si>
    <t>일당</t>
  </si>
  <si>
    <t>근로시간</t>
  </si>
  <si>
    <t>근무일/주</t>
  </si>
  <si>
    <t>팀단위
공사구간</t>
  </si>
  <si>
    <t>팀장명</t>
  </si>
  <si>
    <t>계약기간</t>
  </si>
  <si>
    <r>
      <rPr>
        <sz val="10"/>
        <color indexed="8"/>
        <rFont val="굴림"/>
      </rPr>
      <t xml:space="preserve"> </t>
    </r>
    <r>
      <rPr>
        <u val="single"/>
        <sz val="10"/>
        <color indexed="20"/>
        <rFont val="굴림"/>
      </rPr>
      <t xml:space="preserve"> 2025. 05  . 02  .  ~</t>
    </r>
  </si>
  <si>
    <r>
      <rPr>
        <sz val="10"/>
        <color indexed="8"/>
        <rFont val="굴림"/>
      </rPr>
      <t xml:space="preserve"> </t>
    </r>
    <r>
      <rPr>
        <u val="single"/>
        <sz val="10"/>
        <color indexed="20"/>
        <rFont val="굴림"/>
      </rPr>
      <t xml:space="preserve"> 2025 . 05  . 31   .  (1개월)</t>
    </r>
  </si>
  <si>
    <t>해당월 말일</t>
  </si>
  <si>
    <t>로 한다. 근로계약만료시 근로관계는 자동종료된다</t>
  </si>
  <si>
    <t xml:space="preserve">  근로계약기간중이라도 "을"이 담당하는 팀단위 공사구간(                               )의 공사가 종료되거나 공종(업무)이 종료된 때 또는 근로계약해지사유에 해당된 때, 발주청 또는 원청의 사정으로 공사가 중단된 때를 계약만료일로 한다. 현장간의 전출입은  엄격히 금지되며 현장이동이 필요한 경우 계약을 해지(사직)하고 신규채용절차를 밟아야 한다.</t>
  </si>
  <si>
    <t>구분</t>
  </si>
  <si>
    <t>시간/1주</t>
  </si>
  <si>
    <t>환산비율</t>
  </si>
  <si>
    <t>4.34주</t>
  </si>
  <si>
    <t>월환산시간</t>
  </si>
  <si>
    <t>비중</t>
  </si>
  <si>
    <t>기본일당</t>
  </si>
  <si>
    <t>임    금</t>
  </si>
  <si>
    <t xml:space="preserve"> 1.  "을"의 임금은  1일 8시간 기본일급  (</t>
  </si>
  <si>
    <t>)원,   시간급(</t>
  </si>
  <si>
    <t xml:space="preserve">  )원 으로 하고,법정수당은 다음과 </t>
  </si>
  <si>
    <t>주휴수당</t>
  </si>
  <si>
    <r>
      <rPr>
        <sz val="10"/>
        <color indexed="8"/>
        <rFont val="굴림"/>
      </rPr>
      <t xml:space="preserve">      같이 산정 지급 한다. 단, 태업시에는 태업율만큼 임금이 삭감되며, 근무지이탈, 무단출근시, 우천등 천재지변으로 작업을 못한 경우 해당임금은 지급되지 아니한다   ① 연장근로수당 : 시간급×연장근로시간×150%    ② 휴일가산수당 : 시간급×휴일근로시간×50%   ③ 야간근로수당 : 시간급×야간근로시간(22:00-06:00) × 50%  ④ 유급주휴수당 : 전 주간(월~금)만근한 경우 시간급×8h   ⑤ 연차휴가수당 : 1개월(1~말일)간 만근 후,  연차휴가 미사용시 시간급× 8h  ⑤ 국공휴일수당 : 시간급 x 8h</t>
    </r>
  </si>
  <si>
    <t>국공휴일</t>
  </si>
  <si>
    <t>토일할증</t>
  </si>
  <si>
    <t>연차수당</t>
  </si>
  <si>
    <r>
      <rPr>
        <sz val="10"/>
        <color indexed="8"/>
        <rFont val="굴림"/>
      </rPr>
      <t xml:space="preserve"> 2. 임금은 익월</t>
    </r>
    <r>
      <rPr>
        <u val="single"/>
        <sz val="10"/>
        <color indexed="8"/>
        <rFont val="굴림"/>
      </rPr>
      <t xml:space="preserve"> 15  </t>
    </r>
    <r>
      <rPr>
        <sz val="10"/>
        <color indexed="8"/>
        <rFont val="굴림"/>
      </rPr>
      <t>일에 지급하며, 급여지급시 근로소득세 및 고용보험료, 건강보험료, 국민연금등 제세공과금을   원천 징수한 후 "을"명의의 송금계좌로 직접 지급한다.</t>
    </r>
    <r>
      <rPr>
        <sz val="10"/>
        <color indexed="16"/>
        <rFont val="굴림"/>
      </rPr>
      <t xml:space="preserve"> (급여송금 계좌번호 :                     은행 ,                                                           )  </t>
    </r>
    <r>
      <rPr>
        <sz val="10"/>
        <color indexed="8"/>
        <rFont val="굴림"/>
      </rPr>
      <t xml:space="preserve">                  </t>
    </r>
  </si>
  <si>
    <t>합계</t>
  </si>
  <si>
    <t xml:space="preserve"> 3. 회사는 지정된 시간, 장소에서  "을"에게 식사를 제공한다.  4. 소정근로시간 내 성과목표를 달성한 경우에는 추가공수를 지급할 수 있다.</t>
  </si>
  <si>
    <t>2023년 최저임금</t>
  </si>
  <si>
    <t xml:space="preserve"> 5.“을”의 임금은 위“1항”에 기본일급에 위1항 ①호~⑤호 법정수당이 포함된   일급 ( </t>
  </si>
  <si>
    <t xml:space="preserve">)에 출역공수 ( 월~토 8시간  1공수,  </t>
  </si>
  <si>
    <r>
      <rPr>
        <sz val="10"/>
        <color indexed="8"/>
        <rFont val="굴림"/>
      </rPr>
      <t xml:space="preserve">    연장 2.5시간 0.5공수)로 산정. 포괄일당 및  임금정책 변경시 시간급으로 산정하는데에 동의한다 </t>
    </r>
    <r>
      <rPr>
        <u val="single"/>
        <sz val="10"/>
        <color indexed="22"/>
        <rFont val="굴림"/>
      </rPr>
      <t xml:space="preserve">:  </t>
    </r>
    <r>
      <rPr>
        <u val="single"/>
        <sz val="10"/>
        <color indexed="16"/>
        <rFont val="굴림"/>
      </rPr>
      <t xml:space="preserve">동의자         input1           (인)  </t>
    </r>
  </si>
  <si>
    <t xml:space="preserve">* 본 근로계약서는 열린노무법인에서 작성하여 배포하는 것으로서 </t>
  </si>
  <si>
    <t>6."을"의 임금명세서는 문자메세지 및 전자적 방식에 따라 교부받으며, 명세서 교부 전에 퇴사하면 직접 "갑"의 사무실에서 수령하는 것에 대해서</t>
  </si>
  <si>
    <t xml:space="preserve">  저작권에 등록되어 있으므로 회사에서 사용할 수는 있으나 상업목적으로 </t>
  </si>
  <si>
    <r>
      <rPr>
        <sz val="10"/>
        <color indexed="8"/>
        <rFont val="굴림"/>
      </rPr>
      <t xml:space="preserve">동의한다.  </t>
    </r>
    <r>
      <rPr>
        <sz val="10"/>
        <color indexed="16"/>
        <rFont val="굴림"/>
      </rPr>
      <t xml:space="preserve">                                                                                                        </t>
    </r>
    <r>
      <rPr>
        <u val="single"/>
        <sz val="10"/>
        <color indexed="16"/>
        <rFont val="굴림"/>
      </rPr>
      <t xml:space="preserve">동의자          input1        (인) </t>
    </r>
  </si>
  <si>
    <t xml:space="preserve">  배포할 경우 법적문제가 발생될 수 있습니다 </t>
  </si>
  <si>
    <t>임 금
구성내역</t>
  </si>
  <si>
    <t>일급 산정내역</t>
  </si>
  <si>
    <t>유급주휴</t>
  </si>
  <si>
    <t>토.휴일할증</t>
  </si>
  <si>
    <t xml:space="preserve">  회사의 실정이 맞도록 조정하여 사용하시기 바랍니다. </t>
  </si>
  <si>
    <t>산정기준</t>
  </si>
  <si>
    <t>시간급</t>
  </si>
  <si>
    <t>근로시간
휴게시간</t>
  </si>
  <si>
    <r>
      <rPr>
        <sz val="10"/>
        <color indexed="8"/>
        <rFont val="굴림"/>
      </rPr>
      <t xml:space="preserve">1. 소정근로시간은 1일 8시간, 1주 40시간으로 하고, "을"의 동의를 얻은 경우 1주 12시간이내 연장근로 할 수 있다.
</t>
    </r>
    <r>
      <rPr>
        <sz val="10"/>
        <color indexed="8"/>
        <rFont val="굴림"/>
      </rPr>
      <t xml:space="preserve">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t>
    </r>
    <r>
      <rPr>
        <sz val="10"/>
        <color indexed="8"/>
        <rFont val="굴림"/>
      </rPr>
      <t xml:space="preserve">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t>
    </r>
    <r>
      <rPr>
        <sz val="10"/>
        <color indexed="8"/>
        <rFont val="굴림"/>
      </rPr>
      <t xml:space="preserve">                                              1주 12시간 이내 연장근로 시행에 동의함    </t>
    </r>
    <r>
      <rPr>
        <u val="single"/>
        <sz val="10"/>
        <color indexed="16"/>
        <rFont val="굴림"/>
      </rPr>
      <t>동의자 성명 :             input1            (인)</t>
    </r>
  </si>
  <si>
    <t xml:space="preserve">휴일 </t>
  </si>
  <si>
    <t xml:space="preserve"> 1. 근로자의 날(5.1) 전주간(월-금)만근한 경우 일요일(주휴일)은 유급휴일로 부여한다. (유급 주휴수당은 일당에 포함하여  지급한다.포괄임금제 폐지시에는 시간급을 기준으로 산정한다),  휴일에 근로할 경우, 근로자의 동의를 얻어 다음주중 특정일을 정하여 휴일로 대체하거나, 토일을 격주로 휴무할 수 있다.    2. 관공서공휴일(30인이상 사업장 2021.1.1부터 적용) 유급수당은 일당에 포괄 지급을 원칙으로 한다. 관공서공휴일이 휴일 또는 휴무일과 중복되는 경우에는 무급으로 한다.</t>
  </si>
  <si>
    <t>연차휴가</t>
  </si>
  <si>
    <t>1. “갑은 “을”이 1년간 8할 이상 출근시 연차휴가 15일, 1년 미만인 경우 1월간 만근시 1일의 유급휴가를 준다. 연차수당은 연차휴가사용권을 제한하지 아니하는 범위에서 일당에 포괄역산한다. 2. 전항의 연차휴가는 1일전에 신청하여 승인을 득한후에 사용하여야 하며, "갑"은 휴가시기를 변경할 수 있다.</t>
  </si>
  <si>
    <t xml:space="preserve"> &lt;건설일용근로자 포괄임금 업무처`리 지침&gt;
  일정기간 이상 사용이 예정되어 있는 일당제 일용근로자 : 예정되어 있는 근로기간 동안 
  근로할 경우 지급요건을 충족하는 수당(주휴수당, 연장.야간근로수당, 휴일근로수당)은 
  포함가능하나 그렇지 않은 수당은 포함 불가/다만, 연차유급휴가수당은 이를 포괄임금에 
  포함  할 경우 휴가권을 박탈의 문제가 있으므로 포함할 수 없음.&lt;근로개선정책과, ‘11.8.8&gt;</t>
  </si>
  <si>
    <t xml:space="preserve">근로계약    
해지사유
  </t>
  </si>
  <si>
    <t xml:space="preserve"> 1. 계속하여 5일 이상 결근한 경우(자동면직)
 2. 안전수칙 불이행, 안전조회 불참, 안전장구 미착용(마스크, 턱끈 미착용, 안전고리 미체결 등 포함)
 3. 근무지를 무단이탈(정해진 휴게시간  및 종업시간 이전에 현장을 이탈한 경우)한 경우
 4. 정당한 작업지시 불이행한 경우 또는 기능 및 품질이 현저히 저하된 경우, 과실 등으로 사고나 손실을 야기시킨 경우
 5. 적법하지 않은 집단행동/폭행,파괴, 근로하고자 하는 근로자의 현장 출입을 방해하는 경우
 6. 능률이 미달되어 기성(공사)진행률에 10%이하 미달될 경우 또는 고의적으로 태업한 경우
 7. 폭행, 폭언, 유인물 무단배포, 금연구역에서 흡연, 무단촬영, 출입방해, 타근로자 근로방해 및 근무질서를 문란하게 한 경우
 8. 음주(숙취 포함) 관련, 3회 이상 각 현장 Gate 또는 근로 현장에서 적발될 경우    
 9.  ‘사업주’의 사전 동의 없이 타회사에 취업한 경우(타 회사 취업한 날에 근로계약은 자동해지됨)
10.  불법 체류자, 금지약물 복용자, 기소 중지자(지명 수배), 노동능력상실자 11. "을"의 통장을 팀장등 특정인에게 대여 및 양도하는등 전자 금융거래법을 위반한 경우  12. 해당 팀원의 대다수가 퇴직하여 팀단위 협력 작업이 불가능한 경우 
13. “갑”의 취업규칙 및 안전보건수칙, 회사 제규정에 위배되는 행위를 하였을 때</t>
  </si>
  <si>
    <t>기타근로
조   건</t>
  </si>
  <si>
    <r>
      <rPr>
        <sz val="10"/>
        <color indexed="8"/>
        <rFont val="굴림"/>
      </rP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t>
    </r>
    <r>
      <rPr>
        <sz val="10"/>
        <color indexed="8"/>
        <rFont val="굴림"/>
      </rPr>
      <t xml:space="preserve">4.  개인정보(성명, 주민등록번호,주소, 전화번호)를 현장내 출입관리, 공사 및 노무관리에 활용할 수 있도록 원청 및 발주처 관계자에게 제공하고 활용하는데 이의없이 동의합니다. </t>
    </r>
    <r>
      <rPr>
        <sz val="10"/>
        <color indexed="16"/>
        <rFont val="굴림"/>
      </rPr>
      <t xml:space="preserve">            개</t>
    </r>
    <r>
      <rPr>
        <u val="single"/>
        <sz val="10"/>
        <color indexed="16"/>
        <rFont val="굴림"/>
      </rPr>
      <t xml:space="preserve">인정보제공 동의자  성명 :                input1                (인) 
</t>
    </r>
    <r>
      <rPr>
        <sz val="10"/>
        <color indexed="23"/>
        <rFont val="굴림"/>
      </rPr>
      <t xml:space="preserve">5. "을"은 "갑"의 타 현장에서 자발적사직/계약기간 만료 되었음을 확인하며  본 계약 이후 근로관계가 새로이 시작되는 것에 이의없이 
</t>
    </r>
    <r>
      <rPr>
        <sz val="10"/>
        <color indexed="23"/>
        <rFont val="굴림"/>
      </rPr>
      <t xml:space="preserve">    동의합니다 (* 현장 최초출역일에만 작성)                                       </t>
    </r>
    <r>
      <rPr>
        <sz val="10"/>
        <color indexed="16"/>
        <rFont val="굴림"/>
      </rPr>
      <t xml:space="preserve">동의자 성명 : </t>
    </r>
    <r>
      <rPr>
        <u val="single"/>
        <sz val="10"/>
        <color indexed="16"/>
        <rFont val="굴림"/>
      </rPr>
      <t xml:space="preserve">               input1             (인)</t>
    </r>
  </si>
  <si>
    <t>안전보호구 지급확인</t>
  </si>
  <si>
    <t>1. 안전보호구</t>
  </si>
  <si>
    <t>안전모</t>
  </si>
  <si>
    <t>안전화</t>
  </si>
  <si>
    <t>안전벨트</t>
  </si>
  <si>
    <t>각 반</t>
  </si>
  <si>
    <t>안전교육이수여부</t>
  </si>
  <si>
    <t>(인)</t>
  </si>
  <si>
    <r>
      <rPr>
        <sz val="10"/>
        <color indexed="8"/>
        <rFont val="굴림"/>
      </rPr>
      <t xml:space="preserve">2. 상기 안전보호구 수령확인 및 근로계약/취업규칙 내용을 확인하고 이행함을 동의합니다.        </t>
    </r>
    <r>
      <rPr>
        <sz val="10"/>
        <color indexed="16"/>
        <rFont val="굴림"/>
      </rPr>
      <t xml:space="preserve">동의자 성명 :  </t>
    </r>
    <r>
      <rPr>
        <u val="single"/>
        <sz val="10"/>
        <color indexed="16"/>
        <rFont val="굴림"/>
      </rPr>
      <t xml:space="preserve">            input1              </t>
    </r>
    <r>
      <rPr>
        <sz val="10"/>
        <color indexed="16"/>
        <rFont val="굴림"/>
      </rPr>
      <t>(인)</t>
    </r>
  </si>
  <si>
    <t>교부등 확인</t>
  </si>
  <si>
    <r>
      <rPr>
        <sz val="10"/>
        <color indexed="8"/>
        <rFont val="굴림"/>
      </rPr>
      <t xml:space="preserve"> 상기 근로조건을 확인하였으며, 그외 사항은 현장 취업규칙에 정한바에 따른다.  상기 근로계약서를 정히 교부받았음</t>
    </r>
    <r>
      <rPr>
        <u val="single"/>
        <sz val="10"/>
        <color indexed="16"/>
        <rFont val="굴림"/>
      </rPr>
      <t xml:space="preserve">          input1           (인)</t>
    </r>
  </si>
  <si>
    <t>작성일 :    2025  .  05    .   02   .</t>
  </si>
  <si>
    <t xml:space="preserve">   사  용  자 ("갑")</t>
  </si>
  <si>
    <t xml:space="preserve"> 근  로  자 ("을")</t>
  </si>
  <si>
    <t>회사명/대표이사</t>
  </si>
  <si>
    <r>
      <rPr>
        <sz val="10"/>
        <color indexed="8"/>
        <rFont val="굴림체"/>
      </rPr>
      <t>㈜강구토건 대표 이진호</t>
    </r>
  </si>
  <si>
    <t>성      명</t>
  </si>
  <si>
    <r>
      <rPr>
        <sz val="11"/>
        <color indexed="8"/>
        <rFont val="맑은 고딕"/>
      </rPr>
      <t>Input1</t>
    </r>
    <r>
      <rPr>
        <sz val="10"/>
        <color indexed="8"/>
        <rFont val="굴림"/>
      </rPr>
      <t xml:space="preserve">      </t>
    </r>
    <r>
      <rPr>
        <sz val="10"/>
        <color indexed="16"/>
        <rFont val="굴림"/>
      </rPr>
      <t xml:space="preserve">                   </t>
    </r>
    <r>
      <rPr>
        <sz val="10"/>
        <color indexed="25"/>
        <rFont val="굴림"/>
      </rPr>
      <t xml:space="preserve"> (서명또는 날인)</t>
    </r>
  </si>
  <si>
    <t>본사주소</t>
  </si>
  <si>
    <t>서울시 마포구 희우정로16 ,8층 (합정동,리버아인)</t>
  </si>
  <si>
    <t>주      소</t>
  </si>
  <si>
    <t>Input4</t>
  </si>
  <si>
    <t>현장주소</t>
  </si>
  <si>
    <t>주민등록번호</t>
  </si>
  <si>
    <t>Input5</t>
  </si>
  <si>
    <t>현장대리인(현장소장)</t>
  </si>
  <si>
    <t>Input3             (인)</t>
  </si>
  <si>
    <t>핸드폰번호</t>
  </si>
  <si>
    <t>input6</t>
  </si>
  <si>
    <t>8시간(8hx6)_2월</t>
  </si>
  <si>
    <r>
      <rPr>
        <sz val="10"/>
        <color indexed="8"/>
        <rFont val="굴림"/>
      </rPr>
      <t xml:space="preserve"> </t>
    </r>
    <r>
      <rPr>
        <u val="single"/>
        <sz val="10"/>
        <color indexed="20"/>
        <rFont val="굴림"/>
      </rPr>
      <t xml:space="preserve"> 2025. 02 . 01 .  ~</t>
    </r>
  </si>
  <si>
    <r>
      <rPr>
        <sz val="10"/>
        <color indexed="8"/>
        <rFont val="굴림"/>
      </rPr>
      <t xml:space="preserve"> </t>
    </r>
    <r>
      <rPr>
        <u val="single"/>
        <sz val="10"/>
        <color indexed="20"/>
        <rFont val="굴림"/>
      </rPr>
      <t xml:space="preserve"> 2025 . 02  . 28  .  (1개월)</t>
    </r>
  </si>
  <si>
    <t xml:space="preserve"> 5.“을”의 임금은 위“1항”에 기본일급에 위1항 ①호~⑤호 법정수당이 포함된     일급 ( </t>
  </si>
  <si>
    <r>
      <rPr>
        <sz val="10"/>
        <color indexed="8"/>
        <rFont val="굴림"/>
      </rPr>
      <t xml:space="preserve">    연장 2.5시간 0.5공수)로 산정. 포괄일당 및  임금정책 변경시 시간급으로 산정하는데에 동의한다 </t>
    </r>
    <r>
      <rPr>
        <u val="single"/>
        <sz val="10"/>
        <color indexed="8"/>
        <rFont val="굴림"/>
      </rPr>
      <t xml:space="preserve">:  동의자                 (인)  </t>
    </r>
  </si>
  <si>
    <r>
      <rPr>
        <sz val="10"/>
        <color indexed="8"/>
        <rFont val="굴림"/>
      </rPr>
      <t xml:space="preserve">동의한다.                                                                                                          </t>
    </r>
    <r>
      <rPr>
        <u val="single"/>
        <sz val="10"/>
        <color indexed="8"/>
        <rFont val="굴림"/>
      </rPr>
      <t xml:space="preserve">동의자                   (인) </t>
    </r>
  </si>
  <si>
    <r>
      <rPr>
        <sz val="10"/>
        <color indexed="8"/>
        <rFont val="굴림"/>
      </rPr>
      <t xml:space="preserve">1. 소정근로시간은 1일 8시간, 1주 40시간으로 하고, "을"의 동의를 얻은 경우 1주 12시간이내 연장근로 할 수 있다.
</t>
    </r>
    <r>
      <rPr>
        <sz val="10"/>
        <color indexed="8"/>
        <rFont val="굴림"/>
      </rPr>
      <t xml:space="preserve">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t>
    </r>
    <r>
      <rPr>
        <sz val="10"/>
        <color indexed="8"/>
        <rFont val="굴림"/>
      </rPr>
      <t xml:space="preserve">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t>
    </r>
    <r>
      <rPr>
        <sz val="10"/>
        <color indexed="8"/>
        <rFont val="굴림"/>
      </rPr>
      <t xml:space="preserve">                                              1주 12시간 이내 연장근로 시행에 동의함    </t>
    </r>
    <r>
      <rPr>
        <u val="single"/>
        <sz val="10"/>
        <color indexed="8"/>
        <rFont val="굴림"/>
      </rPr>
      <t>동의자 성명 :                (인)</t>
    </r>
  </si>
  <si>
    <r>
      <rPr>
        <sz val="10"/>
        <color indexed="8"/>
        <rFont val="굴림"/>
      </rP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t>
    </r>
    <r>
      <rPr>
        <sz val="10"/>
        <color indexed="8"/>
        <rFont val="굴림"/>
      </rPr>
      <t>4.  개인정보(성명, 주민등록번호,주소, 전화번호)를 현장내 출입관리, 공사 및 노무관리에 활용할 수 있도록 원청 및 발주처 관계자에게 제공하고 활용하는데 이의없이 동의합니다.             개</t>
    </r>
    <r>
      <rPr>
        <u val="single"/>
        <sz val="10"/>
        <color indexed="8"/>
        <rFont val="굴림"/>
      </rPr>
      <t xml:space="preserve">인정보제공 동의자  성명 :                           (인) 
</t>
    </r>
    <r>
      <rPr>
        <sz val="10"/>
        <color indexed="8"/>
        <rFont val="굴림"/>
      </rPr>
      <t xml:space="preserve">5. "을"은 "갑"의 타 현장에서 자발적사직/계약기간 만료 되었음을 확인하며  본 계약 이후 근로관계가 새로이 시작되는 것에 이의없이 
</t>
    </r>
    <r>
      <rPr>
        <sz val="10"/>
        <color indexed="8"/>
        <rFont val="굴림"/>
      </rPr>
      <t xml:space="preserve">    동의합니다 (* 현장 최초출역일에만 작성)                                       동의자 성명 : </t>
    </r>
    <r>
      <rPr>
        <u val="single"/>
        <sz val="10"/>
        <color indexed="8"/>
        <rFont val="굴림"/>
      </rPr>
      <t xml:space="preserve">               (인)</t>
    </r>
  </si>
  <si>
    <r>
      <rPr>
        <sz val="10"/>
        <color indexed="8"/>
        <rFont val="굴림"/>
      </rPr>
      <t xml:space="preserve">2. 상기 안전보호구 수령확인 및 근로계약/취업규칙 내용을 확인하고 이행함을 동의합니다.        동의자 성명 :  </t>
    </r>
    <r>
      <rPr>
        <u val="single"/>
        <sz val="10"/>
        <color indexed="8"/>
        <rFont val="굴림"/>
      </rPr>
      <t xml:space="preserve">              </t>
    </r>
    <r>
      <rPr>
        <sz val="10"/>
        <color indexed="8"/>
        <rFont val="굴림"/>
      </rPr>
      <t>(인)</t>
    </r>
  </si>
  <si>
    <r>
      <rPr>
        <sz val="10"/>
        <color indexed="8"/>
        <rFont val="굴림"/>
      </rPr>
      <t xml:space="preserve"> 상기 근로조건을 확인하였으며, 그외 사항은 현장 취업규칙에 정한바에 따른다.  상기 근로계약서를 정히 교부받았음</t>
    </r>
    <r>
      <rPr>
        <u val="single"/>
        <sz val="10"/>
        <color indexed="8"/>
        <rFont val="굴림"/>
      </rPr>
      <t xml:space="preserve">           (인)</t>
    </r>
  </si>
  <si>
    <t>작성일 :    2025  .  02      .        .</t>
  </si>
  <si>
    <r>
      <rPr>
        <sz val="10"/>
        <color indexed="16"/>
        <rFont val="굴림"/>
      </rPr>
      <t xml:space="preserve">                     </t>
    </r>
    <r>
      <rPr>
        <sz val="10"/>
        <color indexed="25"/>
        <rFont val="굴림"/>
      </rPr>
      <t xml:space="preserve"> (서명또는 날인)</t>
    </r>
  </si>
  <si>
    <t>8시간(8hx6)_3월</t>
  </si>
  <si>
    <t xml:space="preserve">                       </t>
  </si>
  <si>
    <r>
      <rPr>
        <sz val="10"/>
        <color indexed="8"/>
        <rFont val="굴림"/>
      </rPr>
      <t xml:space="preserve"> </t>
    </r>
    <r>
      <rPr>
        <u val="single"/>
        <sz val="10"/>
        <color indexed="20"/>
        <rFont val="굴림"/>
      </rPr>
      <t xml:space="preserve"> 2025. 03 . 01 .  ~</t>
    </r>
  </si>
  <si>
    <r>
      <rPr>
        <sz val="10"/>
        <color indexed="8"/>
        <rFont val="굴림"/>
      </rPr>
      <t xml:space="preserve"> </t>
    </r>
    <r>
      <rPr>
        <u val="single"/>
        <sz val="10"/>
        <color indexed="20"/>
        <rFont val="굴림"/>
      </rPr>
      <t xml:space="preserve"> 2025 . 03  . 31  .  (1개월)</t>
    </r>
  </si>
  <si>
    <r>
      <rPr>
        <sz val="10"/>
        <color indexed="8"/>
        <rFont val="굴림"/>
      </rPr>
      <t xml:space="preserve">    연장 2.5시간 0.5공수)로 산정. 포괄일당 및  임금정책 변경시 시간급으로 산정하는데에 동의한다 </t>
    </r>
    <r>
      <rPr>
        <u val="single"/>
        <sz val="10"/>
        <color indexed="22"/>
        <rFont val="굴림"/>
      </rPr>
      <t xml:space="preserve">:  </t>
    </r>
    <r>
      <rPr>
        <u val="single"/>
        <sz val="10"/>
        <color indexed="16"/>
        <rFont val="굴림"/>
      </rPr>
      <t xml:space="preserve">동의자                           (인)  </t>
    </r>
  </si>
  <si>
    <r>
      <rPr>
        <sz val="10"/>
        <color indexed="8"/>
        <rFont val="굴림"/>
      </rPr>
      <t xml:space="preserve">동의한다.  </t>
    </r>
    <r>
      <rPr>
        <sz val="10"/>
        <color indexed="16"/>
        <rFont val="굴림"/>
      </rPr>
      <t xml:space="preserve">                                                                                                        </t>
    </r>
    <r>
      <rPr>
        <u val="single"/>
        <sz val="10"/>
        <color indexed="16"/>
        <rFont val="굴림"/>
      </rPr>
      <t xml:space="preserve">동의자                           (인) </t>
    </r>
  </si>
  <si>
    <r>
      <rPr>
        <sz val="10"/>
        <color indexed="8"/>
        <rFont val="굴림"/>
      </rPr>
      <t xml:space="preserve">1. 소정근로시간은 1일 8시간, 1주 40시간으로 하고, "을"의 동의를 얻은 경우 1주 12시간이내 연장근로 할 수 있다.
</t>
    </r>
    <r>
      <rPr>
        <sz val="10"/>
        <color indexed="8"/>
        <rFont val="굴림"/>
      </rPr>
      <t xml:space="preserve">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t>
    </r>
    <r>
      <rPr>
        <sz val="10"/>
        <color indexed="8"/>
        <rFont val="굴림"/>
      </rPr>
      <t xml:space="preserve">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t>
    </r>
    <r>
      <rPr>
        <sz val="10"/>
        <color indexed="8"/>
        <rFont val="굴림"/>
      </rPr>
      <t xml:space="preserve">                                              1주 12시간 이내 연장근로 시행에 동의함    </t>
    </r>
    <r>
      <rPr>
        <u val="single"/>
        <sz val="10"/>
        <color indexed="16"/>
        <rFont val="굴림"/>
      </rPr>
      <t>동의자 성명 :                         (인)</t>
    </r>
  </si>
  <si>
    <r>
      <rPr>
        <sz val="10"/>
        <color indexed="8"/>
        <rFont val="굴림"/>
      </rP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t>
    </r>
    <r>
      <rPr>
        <sz val="10"/>
        <color indexed="8"/>
        <rFont val="굴림"/>
      </rPr>
      <t xml:space="preserve">4.  개인정보(성명, 주민등록번호,주소, 전화번호)를 현장내 출입관리, 공사 및 노무관리에 활용할 수 있도록 원청 및 발주처 관계자에게 제공하고 활용하는데 이의없이 동의합니다. </t>
    </r>
    <r>
      <rPr>
        <sz val="10"/>
        <color indexed="16"/>
        <rFont val="굴림"/>
      </rPr>
      <t xml:space="preserve">            개</t>
    </r>
    <r>
      <rPr>
        <u val="single"/>
        <sz val="10"/>
        <color indexed="16"/>
        <rFont val="굴림"/>
      </rPr>
      <t xml:space="preserve">인정보제공 동의자  성명 :                                 (인) 
</t>
    </r>
    <r>
      <rPr>
        <sz val="10"/>
        <color indexed="23"/>
        <rFont val="굴림"/>
      </rPr>
      <t xml:space="preserve">5. "을"은 "갑"의 타 현장에서 자발적사직/계약기간 만료 되었음을 확인하며  본 계약 이후 근로관계가 새로이 시작되는 것에 이의없이 
</t>
    </r>
    <r>
      <rPr>
        <sz val="10"/>
        <color indexed="23"/>
        <rFont val="굴림"/>
      </rPr>
      <t xml:space="preserve">    동의합니다 (* 현장 최초출역일에만 작성)                                       </t>
    </r>
    <r>
      <rPr>
        <sz val="10"/>
        <color indexed="16"/>
        <rFont val="굴림"/>
      </rPr>
      <t xml:space="preserve">동의자 성명 : </t>
    </r>
    <r>
      <rPr>
        <u val="single"/>
        <sz val="10"/>
        <color indexed="16"/>
        <rFont val="굴림"/>
      </rPr>
      <t xml:space="preserve">                                     (인)</t>
    </r>
  </si>
  <si>
    <r>
      <rPr>
        <sz val="10"/>
        <color indexed="8"/>
        <rFont val="굴림"/>
      </rPr>
      <t xml:space="preserve">2. 상기 안전보호구 수령확인 및 근로계약/취업규칙 내용을 확인하고 이행함을 동의합니다.        </t>
    </r>
    <r>
      <rPr>
        <sz val="10"/>
        <color indexed="16"/>
        <rFont val="굴림"/>
      </rPr>
      <t xml:space="preserve">동의자 성명 :  </t>
    </r>
    <r>
      <rPr>
        <u val="single"/>
        <sz val="10"/>
        <color indexed="16"/>
        <rFont val="굴림"/>
      </rPr>
      <t xml:space="preserve">                                    </t>
    </r>
    <r>
      <rPr>
        <sz val="10"/>
        <color indexed="16"/>
        <rFont val="굴림"/>
      </rPr>
      <t>(인)</t>
    </r>
  </si>
  <si>
    <r>
      <rPr>
        <sz val="10"/>
        <color indexed="8"/>
        <rFont val="굴림"/>
      </rPr>
      <t xml:space="preserve"> 상기 근로조건을 확인하였으며, 그외 사항은 현장 취업규칙에 정한바에 따른다.  상기 근로계약서를 정히 교부받았음</t>
    </r>
    <r>
      <rPr>
        <u val="single"/>
        <sz val="10"/>
        <color indexed="16"/>
        <rFont val="굴림"/>
      </rPr>
      <t xml:space="preserve">                          (인)</t>
    </r>
  </si>
  <si>
    <t>작성일 :    2025  .  03     .        .</t>
  </si>
  <si>
    <r>
      <rPr>
        <sz val="10"/>
        <color indexed="16"/>
        <rFont val="굴림"/>
      </rPr>
      <t xml:space="preserve">                                    </t>
    </r>
    <r>
      <rPr>
        <sz val="10"/>
        <color indexed="25"/>
        <rFont val="굴림"/>
      </rPr>
      <t xml:space="preserve"> (서명또는 날인)</t>
    </r>
  </si>
  <si>
    <t>8시간(8hx6)_4월</t>
  </si>
  <si>
    <r>
      <rPr>
        <sz val="10"/>
        <color indexed="8"/>
        <rFont val="굴림"/>
      </rPr>
      <t xml:space="preserve"> </t>
    </r>
    <r>
      <rPr>
        <u val="single"/>
        <sz val="10"/>
        <color indexed="20"/>
        <rFont val="굴림"/>
      </rPr>
      <t xml:space="preserve"> 2025. 04 . 01 .  ~</t>
    </r>
  </si>
  <si>
    <r>
      <rPr>
        <sz val="10"/>
        <color indexed="8"/>
        <rFont val="굴림"/>
      </rPr>
      <t xml:space="preserve"> </t>
    </r>
    <r>
      <rPr>
        <u val="single"/>
        <sz val="10"/>
        <color indexed="20"/>
        <rFont val="굴림"/>
      </rPr>
      <t xml:space="preserve"> 2025 . 04  . 30  .  (1개월)</t>
    </r>
  </si>
  <si>
    <t>작성일 :    2025  .  04    .        .</t>
  </si>
  <si>
    <t>8시간(8hx6)_5월</t>
  </si>
  <si>
    <r>
      <rPr>
        <sz val="10"/>
        <color indexed="8"/>
        <rFont val="굴림"/>
      </rPr>
      <t xml:space="preserve"> </t>
    </r>
    <r>
      <rPr>
        <u val="single"/>
        <sz val="10"/>
        <color indexed="20"/>
        <rFont val="굴림"/>
      </rPr>
      <t xml:space="preserve"> 2025. 05 . 01 .  ~</t>
    </r>
  </si>
  <si>
    <r>
      <rPr>
        <sz val="10"/>
        <color indexed="8"/>
        <rFont val="굴림"/>
      </rPr>
      <t xml:space="preserve"> </t>
    </r>
    <r>
      <rPr>
        <u val="single"/>
        <sz val="10"/>
        <color indexed="20"/>
        <rFont val="굴림"/>
      </rPr>
      <t xml:space="preserve"> 2025 . 05  . 31  .  (1개월)</t>
    </r>
  </si>
  <si>
    <t>작성일 :    2025  .  05    .        .</t>
  </si>
  <si>
    <t xml:space="preserve">                                     (서명또는 날인)</t>
  </si>
  <si>
    <t xml:space="preserve">      '(인)</t>
  </si>
  <si>
    <t>8시간(8hx6)_6월</t>
  </si>
  <si>
    <r>
      <rPr>
        <sz val="10"/>
        <color indexed="8"/>
        <rFont val="굴림"/>
      </rPr>
      <t xml:space="preserve"> </t>
    </r>
    <r>
      <rPr>
        <u val="single"/>
        <sz val="10"/>
        <color indexed="20"/>
        <rFont val="굴림"/>
      </rPr>
      <t xml:space="preserve"> 2025. 06 . 01 .  ~</t>
    </r>
  </si>
  <si>
    <r>
      <rPr>
        <sz val="10"/>
        <color indexed="8"/>
        <rFont val="굴림"/>
      </rPr>
      <t xml:space="preserve"> </t>
    </r>
    <r>
      <rPr>
        <u val="single"/>
        <sz val="10"/>
        <color indexed="20"/>
        <rFont val="굴림"/>
      </rPr>
      <t xml:space="preserve"> 2025 . 06  . 30  .  (1개월)</t>
    </r>
  </si>
  <si>
    <r>
      <rPr>
        <sz val="10"/>
        <color indexed="8"/>
        <rFont val="굴림"/>
      </rPr>
      <t xml:space="preserve">    연장 2.5시간 0.5공수)로 산정. 포괄일당 및  임금정책 변경시 시간급으로 산정하는데에 동의한다 </t>
    </r>
    <r>
      <rPr>
        <u val="single"/>
        <sz val="10"/>
        <color indexed="22"/>
        <rFont val="굴림"/>
      </rPr>
      <t xml:space="preserve">:  </t>
    </r>
    <r>
      <rPr>
        <u val="single"/>
        <sz val="10"/>
        <color indexed="16"/>
        <rFont val="굴림"/>
      </rPr>
      <t xml:space="preserve">동의자                          (인)  </t>
    </r>
  </si>
  <si>
    <t>작성일 :    2025  . 06    .        .</t>
  </si>
  <si>
    <t>8시간(8hx6)_7월</t>
  </si>
  <si>
    <t>직영</t>
  </si>
  <si>
    <r>
      <rPr>
        <sz val="10"/>
        <color indexed="8"/>
        <rFont val="굴림"/>
      </rPr>
      <t xml:space="preserve"> </t>
    </r>
    <r>
      <rPr>
        <u val="single"/>
        <sz val="10"/>
        <color indexed="20"/>
        <rFont val="굴림"/>
      </rPr>
      <t xml:space="preserve"> 2025. 07 . 01 .  ~</t>
    </r>
  </si>
  <si>
    <r>
      <rPr>
        <sz val="10"/>
        <color indexed="8"/>
        <rFont val="굴림"/>
      </rPr>
      <t xml:space="preserve"> </t>
    </r>
    <r>
      <rPr>
        <u val="single"/>
        <sz val="10"/>
        <color indexed="20"/>
        <rFont val="굴림"/>
      </rPr>
      <t xml:space="preserve"> 2025 . 07  . 31  .  (1개월)</t>
    </r>
  </si>
  <si>
    <t>작성일 :    2025  .   07     .        .</t>
  </si>
  <si>
    <t xml:space="preserve">    '(인)</t>
  </si>
  <si>
    <t>8시간(8hx6)_8월</t>
  </si>
  <si>
    <r>
      <rPr>
        <sz val="10"/>
        <color indexed="8"/>
        <rFont val="굴림"/>
      </rPr>
      <t xml:space="preserve"> </t>
    </r>
    <r>
      <rPr>
        <u val="single"/>
        <sz val="10"/>
        <color indexed="20"/>
        <rFont val="굴림"/>
      </rPr>
      <t xml:space="preserve"> 2025. 08 . 01 .  ~</t>
    </r>
  </si>
  <si>
    <r>
      <rPr>
        <sz val="10"/>
        <color indexed="8"/>
        <rFont val="굴림"/>
      </rPr>
      <t xml:space="preserve"> </t>
    </r>
    <r>
      <rPr>
        <u val="single"/>
        <sz val="10"/>
        <color indexed="20"/>
        <rFont val="굴림"/>
      </rPr>
      <t xml:space="preserve"> 2025 . 08  . 31  .  (1개월)</t>
    </r>
  </si>
  <si>
    <t>작성일 :    2025  .  08     .        .</t>
  </si>
  <si>
    <t xml:space="preserve">           (서명또는 날인)</t>
  </si>
  <si>
    <t xml:space="preserve">        '(인)</t>
  </si>
  <si>
    <t>8시간(8hx6)_9월</t>
  </si>
  <si>
    <r>
      <rPr>
        <sz val="10"/>
        <color indexed="8"/>
        <rFont val="굴림"/>
      </rPr>
      <t xml:space="preserve"> </t>
    </r>
    <r>
      <rPr>
        <u val="single"/>
        <sz val="10"/>
        <color indexed="20"/>
        <rFont val="굴림"/>
      </rPr>
      <t xml:space="preserve"> 2025. 09 . 01 .  ~</t>
    </r>
  </si>
  <si>
    <r>
      <rPr>
        <sz val="10"/>
        <color indexed="8"/>
        <rFont val="굴림"/>
      </rPr>
      <t xml:space="preserve"> </t>
    </r>
    <r>
      <rPr>
        <u val="single"/>
        <sz val="10"/>
        <color indexed="20"/>
        <rFont val="굴림"/>
      </rPr>
      <t xml:space="preserve"> 2025 . 09  . 30  .  (1개월)</t>
    </r>
  </si>
  <si>
    <r>
      <rPr>
        <sz val="10"/>
        <color indexed="8"/>
        <rFont val="굴림"/>
      </rPr>
      <t xml:space="preserve">    연장 2.5시간 0.5공수)로 산정. 포괄일당 및  임금정책 변경시 시간급으로 산정하는데에 동의한다 </t>
    </r>
    <r>
      <rPr>
        <u val="single"/>
        <sz val="10"/>
        <color indexed="22"/>
        <rFont val="굴림"/>
      </rPr>
      <t xml:space="preserve">:  </t>
    </r>
    <r>
      <rPr>
        <u val="single"/>
        <sz val="10"/>
        <color indexed="16"/>
        <rFont val="굴림"/>
      </rPr>
      <t xml:space="preserve">동의자                     (인)  </t>
    </r>
  </si>
  <si>
    <r>
      <rPr>
        <sz val="10"/>
        <color indexed="8"/>
        <rFont val="굴림"/>
      </rPr>
      <t xml:space="preserve">동의한다.  </t>
    </r>
    <r>
      <rPr>
        <sz val="10"/>
        <color indexed="16"/>
        <rFont val="굴림"/>
      </rPr>
      <t xml:space="preserve">                                                                                                        </t>
    </r>
    <r>
      <rPr>
        <u val="single"/>
        <sz val="10"/>
        <color indexed="16"/>
        <rFont val="굴림"/>
      </rPr>
      <t xml:space="preserve">동의자                        (인) </t>
    </r>
  </si>
  <si>
    <r>
      <rPr>
        <sz val="10"/>
        <color indexed="8"/>
        <rFont val="굴림"/>
      </rPr>
      <t xml:space="preserve">1. 소정근로시간은 1일 8시간, 1주 40시간으로 하고, "을"의 동의를 얻은 경우 1주 12시간이내 연장근로 할 수 있다.
</t>
    </r>
    <r>
      <rPr>
        <sz val="10"/>
        <color indexed="8"/>
        <rFont val="굴림"/>
      </rPr>
      <t xml:space="preserve">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t>
    </r>
    <r>
      <rPr>
        <sz val="10"/>
        <color indexed="8"/>
        <rFont val="굴림"/>
      </rPr>
      <t xml:space="preserve">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t>
    </r>
    <r>
      <rPr>
        <sz val="10"/>
        <color indexed="8"/>
        <rFont val="굴림"/>
      </rPr>
      <t xml:space="preserve">                                              1주 12시간 이내 연장근로 시행에 동의함    </t>
    </r>
    <r>
      <rPr>
        <u val="single"/>
        <sz val="10"/>
        <color indexed="16"/>
        <rFont val="굴림"/>
      </rPr>
      <t>동의자 성명 :                      (인)</t>
    </r>
  </si>
  <si>
    <r>
      <rPr>
        <sz val="10"/>
        <color indexed="8"/>
        <rFont val="굴림"/>
      </rP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t>
    </r>
    <r>
      <rPr>
        <sz val="10"/>
        <color indexed="8"/>
        <rFont val="굴림"/>
      </rPr>
      <t xml:space="preserve">4.  개인정보(성명, 주민등록번호,주소, 전화번호)를 현장내 출입관리, 공사 및 노무관리에 활용할 수 있도록 원청 및 발주처 관계자에게 제공하고 활용하는데 이의없이 동의합니다. </t>
    </r>
    <r>
      <rPr>
        <sz val="10"/>
        <color indexed="16"/>
        <rFont val="굴림"/>
      </rPr>
      <t xml:space="preserve">            개</t>
    </r>
    <r>
      <rPr>
        <u val="single"/>
        <sz val="10"/>
        <color indexed="16"/>
        <rFont val="굴림"/>
      </rPr>
      <t xml:space="preserve">인정보제공 동의자  성명 :                             (인) 
</t>
    </r>
    <r>
      <rPr>
        <sz val="10"/>
        <color indexed="23"/>
        <rFont val="굴림"/>
      </rPr>
      <t xml:space="preserve">5. "을"은 "갑"의 타 현장에서 자발적사직/계약기간 만료 되었음을 확인하며  본 계약 이후 근로관계가 새로이 시작되는 것에 이의없이 
</t>
    </r>
    <r>
      <rPr>
        <sz val="10"/>
        <color indexed="23"/>
        <rFont val="굴림"/>
      </rPr>
      <t xml:space="preserve">    동의합니다 (* 현장 최초출역일에만 작성)                                       </t>
    </r>
    <r>
      <rPr>
        <sz val="10"/>
        <color indexed="16"/>
        <rFont val="굴림"/>
      </rPr>
      <t xml:space="preserve">동의자 성명 : </t>
    </r>
    <r>
      <rPr>
        <u val="single"/>
        <sz val="10"/>
        <color indexed="16"/>
        <rFont val="굴림"/>
      </rPr>
      <t xml:space="preserve">                                (인)</t>
    </r>
  </si>
  <si>
    <r>
      <rPr>
        <sz val="10"/>
        <color indexed="8"/>
        <rFont val="굴림"/>
      </rPr>
      <t xml:space="preserve">2. 상기 안전보호구 수령확인 및 근로계약/취업규칙 내용을 확인하고 이행함을 동의합니다.        </t>
    </r>
    <r>
      <rPr>
        <sz val="10"/>
        <color indexed="16"/>
        <rFont val="굴림"/>
      </rPr>
      <t xml:space="preserve">동의자 성명 :  </t>
    </r>
    <r>
      <rPr>
        <u val="single"/>
        <sz val="10"/>
        <color indexed="16"/>
        <rFont val="굴림"/>
      </rPr>
      <t xml:space="preserve">                        </t>
    </r>
    <r>
      <rPr>
        <sz val="10"/>
        <color indexed="16"/>
        <rFont val="굴림"/>
      </rPr>
      <t>(인)</t>
    </r>
  </si>
  <si>
    <r>
      <rPr>
        <sz val="10"/>
        <color indexed="8"/>
        <rFont val="굴림"/>
      </rPr>
      <t xml:space="preserve"> 상기 근로조건을 확인하였으며, 그외 사항은 현장 취업규칙에 정한바에 따른다.  상기 근로계약서를 정히 교부받았음</t>
    </r>
    <r>
      <rPr>
        <u val="single"/>
        <sz val="10"/>
        <color indexed="16"/>
        <rFont val="굴림"/>
      </rPr>
      <t xml:space="preserve">                   (인)</t>
    </r>
  </si>
  <si>
    <t>작성일 :    2025  .  09    .        .</t>
  </si>
  <si>
    <r>
      <rPr>
        <sz val="10"/>
        <color indexed="8"/>
        <rFont val="굴림"/>
      </rPr>
      <t xml:space="preserve">   </t>
    </r>
    <r>
      <rPr>
        <sz val="10"/>
        <color indexed="16"/>
        <rFont val="굴림"/>
      </rPr>
      <t xml:space="preserve">                      </t>
    </r>
    <r>
      <rPr>
        <sz val="10"/>
        <color indexed="25"/>
        <rFont val="굴림"/>
      </rPr>
      <t xml:space="preserve"> (서명또는 날인)</t>
    </r>
  </si>
  <si>
    <t xml:space="preserve">            '(인)</t>
  </si>
  <si>
    <t>8시간(8hx6)_10월</t>
  </si>
  <si>
    <r>
      <rPr>
        <sz val="10"/>
        <color indexed="8"/>
        <rFont val="굴림"/>
      </rPr>
      <t xml:space="preserve"> </t>
    </r>
    <r>
      <rPr>
        <u val="single"/>
        <sz val="10"/>
        <color indexed="20"/>
        <rFont val="굴림"/>
      </rPr>
      <t xml:space="preserve"> 2025. 10 . 01 .  ~</t>
    </r>
  </si>
  <si>
    <r>
      <rPr>
        <sz val="10"/>
        <color indexed="8"/>
        <rFont val="굴림"/>
      </rPr>
      <t xml:space="preserve"> </t>
    </r>
    <r>
      <rPr>
        <u val="single"/>
        <sz val="10"/>
        <color indexed="20"/>
        <rFont val="굴림"/>
      </rPr>
      <t xml:space="preserve"> 2025 . 10  . 31  .  (1개월)</t>
    </r>
  </si>
  <si>
    <t>작성일 :    2025  .  10     .        .</t>
  </si>
  <si>
    <t>8시간(8hx6)_11월</t>
  </si>
  <si>
    <r>
      <rPr>
        <sz val="10"/>
        <color indexed="8"/>
        <rFont val="굴림"/>
      </rPr>
      <t xml:space="preserve"> </t>
    </r>
    <r>
      <rPr>
        <u val="single"/>
        <sz val="10"/>
        <color indexed="20"/>
        <rFont val="굴림"/>
      </rPr>
      <t xml:space="preserve"> 2025. 11 . 01 .  ~</t>
    </r>
  </si>
  <si>
    <r>
      <rPr>
        <sz val="10"/>
        <color indexed="8"/>
        <rFont val="굴림"/>
      </rPr>
      <t xml:space="preserve"> </t>
    </r>
    <r>
      <rPr>
        <u val="single"/>
        <sz val="10"/>
        <color indexed="20"/>
        <rFont val="굴림"/>
      </rPr>
      <t xml:space="preserve"> 2025 . 11  . 30  .  (1개월)</t>
    </r>
  </si>
  <si>
    <t>작성일 :    2025  .  11     .        .</t>
  </si>
  <si>
    <t>8시간(8hx6)_12월</t>
  </si>
  <si>
    <r>
      <rPr>
        <sz val="10"/>
        <color indexed="8"/>
        <rFont val="굴림"/>
      </rPr>
      <t xml:space="preserve"> </t>
    </r>
    <r>
      <rPr>
        <u val="single"/>
        <sz val="10"/>
        <color indexed="20"/>
        <rFont val="굴림"/>
      </rPr>
      <t xml:space="preserve"> 2025. 12 . 01 .  ~</t>
    </r>
  </si>
  <si>
    <r>
      <rPr>
        <sz val="10"/>
        <color indexed="8"/>
        <rFont val="굴림"/>
      </rPr>
      <t xml:space="preserve"> </t>
    </r>
    <r>
      <rPr>
        <u val="single"/>
        <sz val="10"/>
        <color indexed="20"/>
        <rFont val="굴림"/>
      </rPr>
      <t xml:space="preserve"> 2025 . 12  . 31  .  (1개월)</t>
    </r>
  </si>
  <si>
    <t>작성일 :    2025  .  12     .        .</t>
  </si>
  <si>
    <t xml:space="preserve">                                           (서명또는 날인)</t>
  </si>
  <si>
    <t xml:space="preserve">  '(인)</t>
  </si>
</sst>
</file>

<file path=xl/styles.xml><?xml version="1.0" encoding="utf-8"?>
<styleSheet xmlns="http://schemas.openxmlformats.org/spreadsheetml/2006/main">
  <numFmts count="8">
    <numFmt numFmtId="0" formatCode="General"/>
    <numFmt numFmtId="59" formatCode="&quot; &quot;* #,##0&quot; &quot;;&quot;-&quot;* #,##0&quot; &quot;;&quot; &quot;* &quot;- &quot;"/>
    <numFmt numFmtId="60" formatCode="&quot;₩&quot;#,##0&quot; &quot;;&quot;(₩&quot;#,##0)"/>
    <numFmt numFmtId="61" formatCode="&quot; &quot;* #,##0.00&quot; &quot;;&quot;-&quot;* #,##0.00&quot; &quot;;&quot; &quot;* &quot;- &quot;"/>
    <numFmt numFmtId="62" formatCode="0.00&quot; &quot;"/>
    <numFmt numFmtId="63" formatCode="&quot; ₩&quot;* #,##0&quot; &quot;;&quot;-₩&quot;* #,##0&quot; &quot;;&quot; ₩&quot;* &quot;- &quot;"/>
    <numFmt numFmtId="64" formatCode="&quot;₩&quot;#,##0"/>
    <numFmt numFmtId="65" formatCode="&quot;₩&quot;#,##0.00&quot; &quot;;&quot;(₩&quot;#,##0.00)"/>
  </numFmts>
  <fonts count="39">
    <font>
      <sz val="11"/>
      <color indexed="8"/>
      <name val="맑은 고딕"/>
    </font>
    <font>
      <sz val="12"/>
      <color indexed="8"/>
      <name val="맑은 고딕"/>
    </font>
    <font>
      <sz val="14"/>
      <color indexed="8"/>
      <name val="맑은 고딕"/>
    </font>
    <font>
      <sz val="12"/>
      <color indexed="8"/>
      <name val="Helvetica Neue"/>
    </font>
    <font>
      <u val="single"/>
      <sz val="12"/>
      <color indexed="11"/>
      <name val="맑은 고딕"/>
    </font>
    <font>
      <sz val="15"/>
      <color indexed="8"/>
      <name val="Calibri"/>
    </font>
    <font>
      <b val="1"/>
      <sz val="10"/>
      <color indexed="8"/>
      <name val="굴림체"/>
    </font>
    <font>
      <sz val="10"/>
      <color indexed="8"/>
      <name val="굴림체"/>
    </font>
    <font>
      <b val="1"/>
      <sz val="16"/>
      <color indexed="8"/>
      <name val="맑은 고딕"/>
    </font>
    <font>
      <sz val="11"/>
      <color indexed="8"/>
      <name val="돋움"/>
    </font>
    <font>
      <sz val="26"/>
      <color indexed="8"/>
      <name val="HY헤드라인M"/>
    </font>
    <font>
      <sz val="16"/>
      <color indexed="8"/>
      <name val="HY울릉도M"/>
    </font>
    <font>
      <b val="1"/>
      <sz val="16"/>
      <color indexed="14"/>
      <name val="맑은 고딕"/>
    </font>
    <font>
      <u val="single"/>
      <sz val="10"/>
      <color indexed="8"/>
      <name val="굴림"/>
    </font>
    <font>
      <sz val="10"/>
      <color indexed="8"/>
      <name val="굴림"/>
    </font>
    <font>
      <sz val="11"/>
      <color indexed="8"/>
      <name val="굴림"/>
    </font>
    <font>
      <b val="1"/>
      <sz val="11"/>
      <color indexed="8"/>
      <name val="맑은 고딕"/>
    </font>
    <font>
      <b val="1"/>
      <sz val="11"/>
      <color indexed="8"/>
      <name val="돋움"/>
    </font>
    <font>
      <sz val="9"/>
      <color indexed="8"/>
      <name val="굴림"/>
    </font>
    <font>
      <sz val="10"/>
      <color indexed="8"/>
      <name val="굴림"/>
    </font>
    <font>
      <u val="single"/>
      <sz val="10"/>
      <color indexed="20"/>
      <name val="굴림"/>
    </font>
    <font>
      <u val="single"/>
      <sz val="10"/>
      <color indexed="8"/>
      <name val="굴림"/>
    </font>
    <font>
      <sz val="10"/>
      <color indexed="8"/>
      <name val="맑은 고딕"/>
    </font>
    <font>
      <b val="1"/>
      <sz val="11"/>
      <color indexed="16"/>
      <name val="돋움"/>
    </font>
    <font>
      <sz val="11"/>
      <color indexed="8"/>
      <name val="Helvetica Neue"/>
    </font>
    <font>
      <sz val="10"/>
      <color indexed="16"/>
      <name val="굴림"/>
    </font>
    <font>
      <b val="1"/>
      <sz val="10"/>
      <color indexed="8"/>
      <name val="맑은 고딕"/>
    </font>
    <font>
      <b val="1"/>
      <sz val="11"/>
      <color indexed="21"/>
      <name val="돋움"/>
    </font>
    <font>
      <u val="single"/>
      <sz val="10"/>
      <color indexed="22"/>
      <name val="굴림"/>
    </font>
    <font>
      <u val="single"/>
      <sz val="10"/>
      <color indexed="16"/>
      <name val="굴림"/>
    </font>
    <font>
      <b val="1"/>
      <sz val="11"/>
      <color indexed="21"/>
      <name val="HY강B"/>
    </font>
    <font>
      <sz val="10"/>
      <color indexed="16"/>
      <name val="맑은 고딕"/>
    </font>
    <font>
      <sz val="10"/>
      <color indexed="23"/>
      <name val="굴림"/>
    </font>
    <font>
      <sz val="10"/>
      <color indexed="21"/>
      <name val="굴림"/>
    </font>
    <font>
      <sz val="8"/>
      <color indexed="8"/>
      <name val="굴림"/>
    </font>
    <font>
      <sz val="10"/>
      <color indexed="18"/>
      <name val="굴림"/>
    </font>
    <font>
      <sz val="10"/>
      <color indexed="12"/>
      <name val="굴림"/>
    </font>
    <font>
      <sz val="10"/>
      <color indexed="25"/>
      <name val="굴림"/>
    </font>
    <font>
      <b val="1"/>
      <sz val="10"/>
      <color indexed="16"/>
      <name val="굴림체"/>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4"/>
        <bgColor auto="1"/>
      </patternFill>
    </fill>
  </fills>
  <borders count="102">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medium">
        <color indexed="8"/>
      </bottom>
      <diagonal/>
    </border>
    <border>
      <left style="medium">
        <color indexed="8"/>
      </left>
      <right/>
      <top style="medium">
        <color indexed="8"/>
      </top>
      <bottom/>
      <diagonal/>
    </border>
    <border>
      <left/>
      <right/>
      <top style="medium">
        <color indexed="8"/>
      </top>
      <bottom/>
      <diagonal/>
    </border>
    <border>
      <left/>
      <right style="thin">
        <color indexed="13"/>
      </right>
      <top style="medium">
        <color indexed="8"/>
      </top>
      <bottom style="thin">
        <color indexed="13"/>
      </bottom>
      <diagonal/>
    </border>
    <border>
      <left style="thin">
        <color indexed="13"/>
      </left>
      <right/>
      <top style="medium">
        <color indexed="8"/>
      </top>
      <bottom style="thin">
        <color indexed="13"/>
      </bottom>
      <diagonal/>
    </border>
    <border>
      <left style="thin">
        <color indexed="13"/>
      </left>
      <right style="thin">
        <color indexed="13"/>
      </right>
      <top style="medium">
        <color indexed="8"/>
      </top>
      <bottom style="thin">
        <color indexed="13"/>
      </bottom>
      <diagonal/>
    </border>
    <border>
      <left style="thin">
        <color indexed="13"/>
      </left>
      <right style="medium">
        <color indexed="8"/>
      </right>
      <top style="medium">
        <color indexed="8"/>
      </top>
      <bottom style="thin">
        <color indexed="13"/>
      </bottom>
      <diagonal/>
    </border>
    <border>
      <left style="medium">
        <color indexed="8"/>
      </left>
      <right style="thin">
        <color indexed="13"/>
      </right>
      <top style="thin">
        <color indexed="13"/>
      </top>
      <bottom style="thin">
        <color indexed="13"/>
      </bottom>
      <diagonal/>
    </border>
    <border>
      <left style="medium">
        <color indexed="8"/>
      </left>
      <right style="thin">
        <color indexed="13"/>
      </right>
      <top/>
      <bottom style="thin">
        <color indexed="8"/>
      </bottom>
      <diagonal/>
    </border>
    <border>
      <left style="thin">
        <color indexed="13"/>
      </left>
      <right style="thin">
        <color indexed="13"/>
      </right>
      <top/>
      <bottom style="thin">
        <color indexed="8"/>
      </bottom>
      <diagonal/>
    </border>
    <border>
      <left style="thin">
        <color indexed="13"/>
      </left>
      <right style="thin">
        <color indexed="13"/>
      </right>
      <top style="thin">
        <color indexed="13"/>
      </top>
      <bottom style="thin">
        <color indexed="8"/>
      </bottom>
      <diagonal/>
    </border>
    <border>
      <left style="thin">
        <color indexed="13"/>
      </left>
      <right style="medium">
        <color indexed="8"/>
      </right>
      <top style="thin">
        <color indexed="13"/>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13"/>
      </right>
      <top style="thin">
        <color indexed="8"/>
      </top>
      <bottom style="thin">
        <color indexed="8"/>
      </bottom>
      <diagonal/>
    </border>
    <border>
      <left style="thin">
        <color indexed="13"/>
      </left>
      <right style="thin">
        <color indexed="13"/>
      </right>
      <top style="thin">
        <color indexed="8"/>
      </top>
      <bottom style="thin">
        <color indexed="8"/>
      </bottom>
      <diagonal/>
    </border>
    <border>
      <left style="thin">
        <color indexed="13"/>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13"/>
      </left>
      <right style="medium">
        <color indexed="8"/>
      </right>
      <top style="thin">
        <color indexed="8"/>
      </top>
      <bottom style="thin">
        <color indexed="8"/>
      </bottom>
      <diagonal/>
    </border>
    <border>
      <left style="medium">
        <color indexed="8"/>
      </left>
      <right style="medium">
        <color indexed="8"/>
      </right>
      <top style="thin">
        <color indexed="13"/>
      </top>
      <bottom style="thin">
        <color indexed="13"/>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13"/>
      </right>
      <top style="thin">
        <color indexed="8"/>
      </top>
      <bottom style="thin">
        <color indexed="13"/>
      </bottom>
      <diagonal/>
    </border>
    <border>
      <left style="thin">
        <color indexed="13"/>
      </left>
      <right style="thin">
        <color indexed="13"/>
      </right>
      <top style="thin">
        <color indexed="8"/>
      </top>
      <bottom style="thin">
        <color indexed="13"/>
      </bottom>
      <diagonal/>
    </border>
    <border>
      <left style="thin">
        <color indexed="13"/>
      </left>
      <right style="medium">
        <color indexed="8"/>
      </right>
      <top style="thin">
        <color indexed="8"/>
      </top>
      <bottom style="thin">
        <color indexed="13"/>
      </bottom>
      <diagonal/>
    </border>
    <border>
      <left style="medium">
        <color indexed="8"/>
      </left>
      <right style="thin">
        <color indexed="8"/>
      </right>
      <top/>
      <bottom/>
      <diagonal/>
    </border>
    <border>
      <left style="thin">
        <color indexed="8"/>
      </left>
      <right style="thin">
        <color indexed="13"/>
      </right>
      <top/>
      <bottom style="thin">
        <color indexed="13"/>
      </bottom>
      <diagonal/>
    </border>
    <border>
      <left style="thin">
        <color indexed="13"/>
      </left>
      <right style="thin">
        <color indexed="13"/>
      </right>
      <top/>
      <bottom style="thin">
        <color indexed="13"/>
      </bottom>
      <diagonal/>
    </border>
    <border>
      <left style="thin">
        <color indexed="13"/>
      </left>
      <right style="medium">
        <color indexed="8"/>
      </right>
      <top style="thin">
        <color indexed="13"/>
      </top>
      <bottom style="thin">
        <color indexed="13"/>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bottom style="thin">
        <color indexed="8"/>
      </bottom>
      <diagonal/>
    </border>
    <border>
      <left style="thin">
        <color indexed="8"/>
      </left>
      <right style="thin">
        <color indexed="13"/>
      </right>
      <top style="thin">
        <color indexed="13"/>
      </top>
      <bottom style="thin">
        <color indexed="8"/>
      </bottom>
      <diagonal/>
    </border>
    <border>
      <left style="thin">
        <color indexed="8"/>
      </left>
      <right style="thin">
        <color indexed="13"/>
      </right>
      <top style="thin">
        <color indexed="8"/>
      </top>
      <bottom style="thin">
        <color indexed="13"/>
      </bottom>
      <diagonal/>
    </border>
    <border>
      <left style="thin">
        <color indexed="13"/>
      </left>
      <right/>
      <top style="thin">
        <color indexed="8"/>
      </top>
      <bottom style="thin">
        <color indexed="13"/>
      </bottom>
      <diagonal/>
    </border>
    <border>
      <left/>
      <right/>
      <top style="thin">
        <color indexed="8"/>
      </top>
      <bottom style="thin">
        <color indexed="13"/>
      </bottom>
      <diagonal/>
    </border>
    <border>
      <left style="thin">
        <color indexed="8"/>
      </left>
      <right style="thin">
        <color indexed="13"/>
      </right>
      <top style="thin">
        <color indexed="13"/>
      </top>
      <bottom style="thin">
        <color indexed="13"/>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3"/>
      </left>
      <right style="thin">
        <color indexed="13"/>
      </right>
      <top style="thin">
        <color indexed="13"/>
      </top>
      <bottom/>
      <diagonal/>
    </border>
    <border>
      <left style="thin">
        <color indexed="13"/>
      </left>
      <right style="medium">
        <color indexed="8"/>
      </right>
      <top style="thin">
        <color indexed="13"/>
      </top>
      <bottom/>
      <diagonal/>
    </border>
    <border>
      <left style="thin">
        <color indexed="13"/>
      </left>
      <right/>
      <top style="thin">
        <color indexed="13"/>
      </top>
      <bottom style="thin">
        <color indexed="13"/>
      </bottom>
      <diagonal/>
    </border>
    <border>
      <left/>
      <right/>
      <top/>
      <bottom/>
      <diagonal/>
    </border>
    <border>
      <left/>
      <right style="medium">
        <color indexed="8"/>
      </right>
      <top/>
      <bottom/>
      <diagonal/>
    </border>
    <border>
      <left style="thin">
        <color indexed="13"/>
      </left>
      <right style="medium">
        <color indexed="8"/>
      </right>
      <top/>
      <bottom style="thin">
        <color indexed="13"/>
      </bottom>
      <diagonal/>
    </border>
    <border>
      <left style="thin">
        <color indexed="8"/>
      </left>
      <right/>
      <top style="thin">
        <color indexed="8"/>
      </top>
      <bottom style="hair">
        <color indexed="8"/>
      </bottom>
      <diagonal/>
    </border>
    <border>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top style="thin">
        <color indexed="8"/>
      </top>
      <bottom style="hair">
        <color indexed="8"/>
      </bottom>
      <diagonal/>
    </border>
    <border>
      <left/>
      <right style="medium">
        <color indexed="8"/>
      </right>
      <top style="thin">
        <color indexed="8"/>
      </top>
      <bottom style="hair">
        <color indexed="8"/>
      </bottom>
      <diagonal/>
    </border>
    <border>
      <left style="thin">
        <color indexed="8"/>
      </left>
      <right/>
      <top style="hair">
        <color indexed="8"/>
      </top>
      <bottom style="hair">
        <color indexed="8"/>
      </bottom>
      <diagonal/>
    </border>
    <border>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top style="hair">
        <color indexed="8"/>
      </top>
      <bottom style="hair">
        <color indexed="8"/>
      </bottom>
      <diagonal/>
    </border>
    <border>
      <left/>
      <right style="medium">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top style="hair">
        <color indexed="8"/>
      </top>
      <bottom style="thin">
        <color indexed="8"/>
      </bottom>
      <diagonal/>
    </border>
    <border>
      <left/>
      <right style="hair">
        <color indexed="8"/>
      </right>
      <top style="hair">
        <color indexed="8"/>
      </top>
      <bottom style="thin">
        <color indexed="8"/>
      </bottom>
      <diagonal/>
    </border>
    <border>
      <left/>
      <right style="medium">
        <color indexed="8"/>
      </right>
      <top style="hair">
        <color indexed="8"/>
      </top>
      <bottom style="thin">
        <color indexed="8"/>
      </bottom>
      <diagonal/>
    </border>
    <border>
      <left style="medium">
        <color indexed="8"/>
      </left>
      <right/>
      <top style="thin">
        <color indexed="13"/>
      </top>
      <bottom style="thin">
        <color indexed="13"/>
      </bottom>
      <diagonal/>
    </border>
    <border>
      <left/>
      <right style="thin">
        <color indexed="13"/>
      </right>
      <top style="thin">
        <color indexed="13"/>
      </top>
      <bottom style="thin">
        <color indexed="13"/>
      </bottom>
      <diagonal/>
    </border>
    <border>
      <left/>
      <right/>
      <top style="thin">
        <color indexed="13"/>
      </top>
      <bottom style="thin">
        <color indexed="13"/>
      </bottom>
      <diagonal/>
    </border>
    <border>
      <left style="thin">
        <color indexed="8"/>
      </left>
      <right/>
      <top style="thin">
        <color indexed="13"/>
      </top>
      <bottom style="thin">
        <color indexed="13"/>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top style="thin">
        <color indexed="8"/>
      </top>
      <bottom style="dashed">
        <color indexed="8"/>
      </bottom>
      <diagonal/>
    </border>
    <border>
      <left/>
      <right/>
      <top style="thin">
        <color indexed="8"/>
      </top>
      <bottom style="dashed">
        <color indexed="8"/>
      </bottom>
      <diagonal/>
    </border>
    <border>
      <left/>
      <right style="medium">
        <color indexed="8"/>
      </right>
      <top style="thin">
        <color indexed="8"/>
      </top>
      <bottom style="dashed">
        <color indexed="8"/>
      </bottom>
      <diagonal/>
    </border>
    <border>
      <left style="medium">
        <color indexed="8"/>
      </left>
      <right style="dotted">
        <color indexed="8"/>
      </right>
      <top style="dashed">
        <color indexed="8"/>
      </top>
      <bottom style="dotted">
        <color indexed="8"/>
      </bottom>
      <diagonal/>
    </border>
    <border>
      <left style="dotted">
        <color indexed="8"/>
      </left>
      <right style="dotted">
        <color indexed="8"/>
      </right>
      <top style="dashed">
        <color indexed="8"/>
      </top>
      <bottom style="dotted">
        <color indexed="8"/>
      </bottom>
      <diagonal/>
    </border>
    <border>
      <left style="dotted">
        <color indexed="8"/>
      </left>
      <right style="dotted">
        <color indexed="8"/>
      </right>
      <top style="dashed">
        <color indexed="8"/>
      </top>
      <bottom style="hair">
        <color indexed="8"/>
      </bottom>
      <diagonal/>
    </border>
    <border>
      <left style="dotted">
        <color indexed="8"/>
      </left>
      <right style="medium">
        <color indexed="8"/>
      </right>
      <top style="dashed">
        <color indexed="8"/>
      </top>
      <bottom style="hair">
        <color indexed="8"/>
      </bottom>
      <diagonal/>
    </border>
    <border>
      <left style="medium">
        <color indexed="8"/>
      </left>
      <right style="dotted">
        <color indexed="8"/>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style="hair">
        <color indexed="8"/>
      </right>
      <top style="dotted">
        <color indexed="8"/>
      </top>
      <bottom style="dotted">
        <color indexed="8"/>
      </bottom>
      <diagonal/>
    </border>
    <border>
      <left style="hair">
        <color indexed="8"/>
      </left>
      <right style="medium">
        <color indexed="8"/>
      </right>
      <top style="hair">
        <color indexed="8"/>
      </top>
      <bottom style="hair">
        <color indexed="8"/>
      </bottom>
      <diagonal/>
    </border>
    <border>
      <left style="dotted">
        <color indexed="8"/>
      </left>
      <right style="thin">
        <color indexed="13"/>
      </right>
      <top style="dotted">
        <color indexed="8"/>
      </top>
      <bottom style="dotted">
        <color indexed="8"/>
      </bottom>
      <diagonal/>
    </border>
    <border>
      <left style="thin">
        <color indexed="13"/>
      </left>
      <right style="thin">
        <color indexed="13"/>
      </right>
      <top style="dotted">
        <color indexed="8"/>
      </top>
      <bottom style="dotted">
        <color indexed="8"/>
      </bottom>
      <diagonal/>
    </border>
    <border>
      <left style="thin">
        <color indexed="13"/>
      </left>
      <right style="dotted">
        <color indexed="8"/>
      </right>
      <top style="dotted">
        <color indexed="8"/>
      </top>
      <bottom style="dotted">
        <color indexed="8"/>
      </bottom>
      <diagonal/>
    </border>
    <border>
      <left style="medium">
        <color indexed="8"/>
      </left>
      <right style="dotted">
        <color indexed="8"/>
      </right>
      <top style="dotted">
        <color indexed="8"/>
      </top>
      <bottom style="medium">
        <color indexed="8"/>
      </bottom>
      <diagonal/>
    </border>
    <border>
      <left style="dotted">
        <color indexed="8"/>
      </left>
      <right style="dotted">
        <color indexed="8"/>
      </right>
      <top style="dotted">
        <color indexed="8"/>
      </top>
      <bottom style="medium">
        <color indexed="8"/>
      </bottom>
      <diagonal/>
    </border>
    <border>
      <left style="dotted">
        <color indexed="8"/>
      </left>
      <right style="thin">
        <color indexed="13"/>
      </right>
      <top style="dotted">
        <color indexed="8"/>
      </top>
      <bottom style="medium">
        <color indexed="8"/>
      </bottom>
      <diagonal/>
    </border>
    <border>
      <left style="thin">
        <color indexed="13"/>
      </left>
      <right style="thin">
        <color indexed="13"/>
      </right>
      <top style="dotted">
        <color indexed="8"/>
      </top>
      <bottom style="medium">
        <color indexed="8"/>
      </bottom>
      <diagonal/>
    </border>
    <border>
      <left style="thin">
        <color indexed="13"/>
      </left>
      <right style="dotted">
        <color indexed="8"/>
      </right>
      <top style="dotted">
        <color indexed="8"/>
      </top>
      <bottom style="medium">
        <color indexed="8"/>
      </bottom>
      <diagonal/>
    </border>
    <border>
      <left style="dotted">
        <color indexed="8"/>
      </left>
      <right style="hair">
        <color indexed="8"/>
      </right>
      <top style="dotted">
        <color indexed="8"/>
      </top>
      <bottom style="medium">
        <color indexed="8"/>
      </bottom>
      <diagonal/>
    </border>
    <border>
      <left style="hair">
        <color indexed="8"/>
      </left>
      <right style="hair">
        <color indexed="8"/>
      </right>
      <top style="hair">
        <color indexed="8"/>
      </top>
      <bottom style="medium">
        <color indexed="8"/>
      </bottom>
      <diagonal/>
    </border>
    <border>
      <left style="hair">
        <color indexed="8"/>
      </left>
      <right style="medium">
        <color indexed="8"/>
      </right>
      <top style="hair">
        <color indexed="8"/>
      </top>
      <bottom style="medium">
        <color indexed="8"/>
      </bottom>
      <diagonal/>
    </border>
    <border>
      <left style="dotted">
        <color indexed="8"/>
      </left>
      <right style="medium">
        <color indexed="8"/>
      </right>
      <top style="dashed">
        <color indexed="8"/>
      </top>
      <bottom style="dotted">
        <color indexed="8"/>
      </bottom>
      <diagonal/>
    </border>
    <border>
      <left style="dotted">
        <color indexed="8"/>
      </left>
      <right style="medium">
        <color indexed="8"/>
      </right>
      <top style="dotted">
        <color indexed="8"/>
      </top>
      <bottom style="dotted">
        <color indexed="8"/>
      </bottom>
      <diagonal/>
    </border>
    <border>
      <left style="dotted">
        <color indexed="8"/>
      </left>
      <right style="medium">
        <color indexed="8"/>
      </right>
      <top style="dotted">
        <color indexed="8"/>
      </top>
      <bottom style="medium">
        <color indexed="8"/>
      </bottom>
      <diagonal/>
    </border>
  </borders>
  <cellStyleXfs count="1">
    <xf numFmtId="0" fontId="0" applyNumberFormat="0" applyFont="1" applyFill="0" applyBorder="0" applyAlignment="1" applyProtection="0">
      <alignment vertical="center"/>
    </xf>
  </cellStyleXfs>
  <cellXfs count="269">
    <xf numFmtId="0" fontId="0" applyNumberFormat="0" applyFont="1" applyFill="0" applyBorder="0" applyAlignment="1" applyProtection="0">
      <alignment vertical="center"/>
    </xf>
    <xf numFmtId="0" fontId="1" applyNumberFormat="0" applyFont="1" applyFill="0" applyBorder="0" applyAlignment="1" applyProtection="0">
      <alignment horizontal="left" vertical="center" wrapText="1"/>
    </xf>
    <xf numFmtId="0" fontId="2" applyNumberFormat="0" applyFont="1" applyFill="0" applyBorder="0" applyAlignment="1" applyProtection="0">
      <alignment horizontal="left" vertical="center"/>
    </xf>
    <xf numFmtId="0" fontId="1" fillId="2" applyNumberFormat="0" applyFont="1" applyFill="1" applyBorder="0" applyAlignment="1" applyProtection="0">
      <alignment horizontal="left" vertical="center"/>
    </xf>
    <xf numFmtId="0" fontId="1" fillId="3" applyNumberFormat="0" applyFont="1" applyFill="1" applyBorder="0" applyAlignment="1" applyProtection="0">
      <alignment horizontal="left" vertical="center"/>
    </xf>
    <xf numFmtId="0" fontId="4" fillId="3" applyNumberFormat="0" applyFont="1" applyFill="1" applyBorder="0" applyAlignment="1" applyProtection="0">
      <alignment horizontal="left" vertical="center"/>
    </xf>
    <xf numFmtId="0" fontId="0" applyNumberFormat="1" applyFont="1" applyFill="0" applyBorder="0" applyAlignment="1" applyProtection="0">
      <alignment vertical="center"/>
    </xf>
    <xf numFmtId="49" fontId="6" fillId="4" borderId="1" applyNumberFormat="1" applyFont="1" applyFill="1" applyBorder="1" applyAlignment="1" applyProtection="0">
      <alignment horizontal="left" vertical="center" wrapText="1"/>
    </xf>
    <xf numFmtId="0" fontId="6" fillId="4" borderId="1" applyNumberFormat="0" applyFont="1" applyFill="1" applyBorder="1" applyAlignment="1" applyProtection="0">
      <alignment horizontal="left" vertical="center" wrapText="1"/>
    </xf>
    <xf numFmtId="0" fontId="7" fillId="4" borderId="1" applyNumberFormat="0" applyFont="1" applyFill="1" applyBorder="1" applyAlignment="1" applyProtection="0">
      <alignment vertical="center"/>
    </xf>
    <xf numFmtId="0" fontId="0" fillId="4" borderId="1" applyNumberFormat="0" applyFont="1" applyFill="1" applyBorder="1" applyAlignment="1" applyProtection="0">
      <alignment vertical="center"/>
    </xf>
    <xf numFmtId="49" fontId="8" fillId="4" borderId="1" applyNumberFormat="1" applyFont="1" applyFill="1" applyBorder="1" applyAlignment="1" applyProtection="0">
      <alignment horizontal="center" vertical="center"/>
    </xf>
    <xf numFmtId="0" fontId="8" fillId="4" borderId="1" applyNumberFormat="0" applyFont="1" applyFill="1" applyBorder="1" applyAlignment="1" applyProtection="0">
      <alignment horizontal="center" vertical="center"/>
    </xf>
    <xf numFmtId="59" fontId="9" fillId="4" borderId="1" applyNumberFormat="1" applyFont="1" applyFill="1" applyBorder="1" applyAlignment="1" applyProtection="0">
      <alignment vertical="center"/>
    </xf>
    <xf numFmtId="49" fontId="10" fillId="4" borderId="1" applyNumberFormat="1" applyFont="1" applyFill="1" applyBorder="1" applyAlignment="1" applyProtection="0">
      <alignment horizontal="center" vertical="center"/>
    </xf>
    <xf numFmtId="0" fontId="10" fillId="4" borderId="1" applyNumberFormat="0" applyFont="1" applyFill="1" applyBorder="1" applyAlignment="1" applyProtection="0">
      <alignment horizontal="center" vertical="center"/>
    </xf>
    <xf numFmtId="0" fontId="7" fillId="4" borderId="2" applyNumberFormat="0" applyFont="1" applyFill="1" applyBorder="1" applyAlignment="1" applyProtection="0">
      <alignment vertical="center"/>
    </xf>
    <xf numFmtId="0" fontId="11" fillId="4" borderId="1" applyNumberFormat="0" applyFont="1" applyFill="1" applyBorder="1" applyAlignment="1" applyProtection="0">
      <alignment vertical="center"/>
    </xf>
    <xf numFmtId="49" fontId="12" fillId="4" borderId="1" applyNumberFormat="1" applyFont="1" applyFill="1" applyBorder="1" applyAlignment="1" applyProtection="0">
      <alignment horizontal="center" vertical="center"/>
    </xf>
    <xf numFmtId="0" fontId="12" fillId="4" borderId="1" applyNumberFormat="0" applyFont="1" applyFill="1" applyBorder="1" applyAlignment="1" applyProtection="0">
      <alignment horizontal="center" vertical="center"/>
    </xf>
    <xf numFmtId="49" fontId="13" fillId="5" borderId="3" applyNumberFormat="1" applyFont="1" applyFill="1" applyBorder="1" applyAlignment="1" applyProtection="0">
      <alignment horizontal="center" vertical="center" wrapText="1"/>
    </xf>
    <xf numFmtId="0" fontId="13" fillId="5" borderId="4" applyNumberFormat="0" applyFont="1" applyFill="1" applyBorder="1" applyAlignment="1" applyProtection="0">
      <alignment horizontal="center" vertical="center" wrapText="1"/>
    </xf>
    <xf numFmtId="49" fontId="14" fillId="4" borderId="5" applyNumberFormat="1" applyFont="1" applyFill="1" applyBorder="1" applyAlignment="1" applyProtection="0">
      <alignment horizontal="center" vertical="center" wrapText="1"/>
    </xf>
    <xf numFmtId="0" fontId="14" fillId="4" borderId="6" applyNumberFormat="0" applyFont="1" applyFill="1" applyBorder="1" applyAlignment="1" applyProtection="0">
      <alignment horizontal="center" vertical="center" wrapText="1"/>
    </xf>
    <xf numFmtId="49" fontId="14" fillId="5" borderId="4" applyNumberFormat="1" applyFont="1" applyFill="1" applyBorder="1" applyAlignment="1" applyProtection="0">
      <alignment horizontal="center" vertical="center"/>
    </xf>
    <xf numFmtId="0" fontId="14" fillId="4" borderId="7" applyNumberFormat="0" applyFont="1" applyFill="1" applyBorder="1" applyAlignment="1" applyProtection="0">
      <alignment horizontal="center" vertical="center" wrapText="1"/>
    </xf>
    <xf numFmtId="0" fontId="14" fillId="4" borderId="8" applyNumberFormat="0" applyFont="1" applyFill="1" applyBorder="1" applyAlignment="1" applyProtection="0">
      <alignment horizontal="center" vertical="center" wrapText="1"/>
    </xf>
    <xf numFmtId="0" fontId="15" fillId="4" borderId="9" applyNumberFormat="0" applyFont="1" applyFill="1" applyBorder="1" applyAlignment="1" applyProtection="0">
      <alignment vertical="center"/>
    </xf>
    <xf numFmtId="49" fontId="14" fillId="4" borderId="10" applyNumberFormat="1" applyFont="1" applyFill="1" applyBorder="1" applyAlignment="1" applyProtection="0">
      <alignment horizontal="left" vertical="center" wrapText="1"/>
    </xf>
    <xf numFmtId="0" fontId="14" fillId="4" borderId="11" applyNumberFormat="0" applyFont="1" applyFill="1" applyBorder="1" applyAlignment="1" applyProtection="0">
      <alignment horizontal="left" vertical="center" wrapText="1"/>
    </xf>
    <xf numFmtId="0" fontId="14" fillId="4" borderId="12" applyNumberFormat="0" applyFont="1" applyFill="1" applyBorder="1" applyAlignment="1" applyProtection="0">
      <alignment horizontal="left" vertical="center" wrapText="1"/>
    </xf>
    <xf numFmtId="0" fontId="14" fillId="4" borderId="13" applyNumberFormat="0" applyFont="1" applyFill="1" applyBorder="1" applyAlignment="1" applyProtection="0">
      <alignment horizontal="left" vertical="center" wrapText="1"/>
    </xf>
    <xf numFmtId="49" fontId="16" fillId="4" borderId="2" applyNumberFormat="1" applyFont="1" applyFill="1" applyBorder="1" applyAlignment="1" applyProtection="0">
      <alignment horizontal="left" vertical="center"/>
    </xf>
    <xf numFmtId="60" fontId="16" fillId="4" borderId="2" applyNumberFormat="1" applyFont="1" applyFill="1" applyBorder="1" applyAlignment="1" applyProtection="0">
      <alignment horizontal="center" vertical="center"/>
    </xf>
    <xf numFmtId="0" fontId="16" fillId="4" borderId="2" applyNumberFormat="0" applyFont="1" applyFill="1" applyBorder="1" applyAlignment="1" applyProtection="0">
      <alignment horizontal="center" vertical="center"/>
    </xf>
    <xf numFmtId="0" fontId="0" fillId="4" borderId="2" applyNumberFormat="0" applyFont="1" applyFill="1" applyBorder="1" applyAlignment="1" applyProtection="0">
      <alignment vertical="center"/>
    </xf>
    <xf numFmtId="49" fontId="14" fillId="6" borderId="14" applyNumberFormat="1" applyFont="1" applyFill="1" applyBorder="1" applyAlignment="1" applyProtection="0">
      <alignment horizontal="center" vertical="center"/>
    </xf>
    <xf numFmtId="49" fontId="14" fillId="4" borderId="15" applyNumberFormat="1" applyFont="1" applyFill="1" applyBorder="1" applyAlignment="1" applyProtection="0">
      <alignment horizontal="center" vertical="center"/>
    </xf>
    <xf numFmtId="0" fontId="14" fillId="4" borderId="16" applyNumberFormat="0" applyFont="1" applyFill="1" applyBorder="1" applyAlignment="1" applyProtection="0">
      <alignment horizontal="center" vertical="center"/>
    </xf>
    <xf numFmtId="0" fontId="14" fillId="4" borderId="17" applyNumberFormat="0" applyFont="1" applyFill="1" applyBorder="1" applyAlignment="1" applyProtection="0">
      <alignment horizontal="center" vertical="center"/>
    </xf>
    <xf numFmtId="49" fontId="14" fillId="6" borderId="18" applyNumberFormat="1" applyFont="1" applyFill="1" applyBorder="1" applyAlignment="1" applyProtection="0">
      <alignment horizontal="center" vertical="center"/>
    </xf>
    <xf numFmtId="0" fontId="14" fillId="6" borderId="19" applyNumberFormat="0" applyFont="1" applyFill="1" applyBorder="1" applyAlignment="1" applyProtection="0">
      <alignment horizontal="center" vertical="center"/>
    </xf>
    <xf numFmtId="0" fontId="14" fillId="4" borderId="20" applyNumberFormat="0" applyFont="1" applyFill="1" applyBorder="1" applyAlignment="1" applyProtection="0">
      <alignment horizontal="center" vertical="center"/>
    </xf>
    <xf numFmtId="0" fontId="0" fillId="4" borderId="21" applyNumberFormat="0" applyFont="1" applyFill="1" applyBorder="1" applyAlignment="1" applyProtection="0">
      <alignment vertical="center"/>
    </xf>
    <xf numFmtId="49" fontId="16" fillId="7" borderId="22" applyNumberFormat="1" applyFont="1" applyFill="1" applyBorder="1" applyAlignment="1" applyProtection="0">
      <alignment horizontal="center" vertical="center"/>
    </xf>
    <xf numFmtId="60" fontId="16" fillId="8" borderId="23" applyNumberFormat="1" applyFont="1" applyFill="1" applyBorder="1" applyAlignment="1" applyProtection="0">
      <alignment horizontal="center" vertical="center"/>
    </xf>
    <xf numFmtId="49" fontId="16" fillId="7" borderId="23" applyNumberFormat="1" applyFont="1" applyFill="1" applyBorder="1" applyAlignment="1" applyProtection="0">
      <alignment horizontal="center" vertical="center"/>
    </xf>
    <xf numFmtId="0" fontId="16" fillId="8" borderId="23" applyNumberFormat="1" applyFont="1" applyFill="1" applyBorder="1" applyAlignment="1" applyProtection="0">
      <alignment horizontal="center" vertical="center"/>
    </xf>
    <xf numFmtId="0" fontId="17" fillId="8" borderId="24" applyNumberFormat="1" applyFont="1" applyFill="1" applyBorder="1" applyAlignment="1" applyProtection="0">
      <alignment horizontal="center" vertical="center"/>
    </xf>
    <xf numFmtId="0" fontId="0" fillId="4" borderId="9" applyNumberFormat="0" applyFont="1" applyFill="1" applyBorder="1" applyAlignment="1" applyProtection="0">
      <alignment vertical="center"/>
    </xf>
    <xf numFmtId="49" fontId="18" fillId="6" borderId="14" applyNumberFormat="1" applyFont="1" applyFill="1" applyBorder="1" applyAlignment="1" applyProtection="0">
      <alignment horizontal="center" vertical="center" wrapText="1"/>
    </xf>
    <xf numFmtId="0" fontId="14" fillId="4" borderId="25" applyNumberFormat="0" applyFont="1" applyFill="1" applyBorder="1" applyAlignment="1" applyProtection="0">
      <alignment horizontal="center" vertical="center"/>
    </xf>
    <xf numFmtId="49" fontId="14" fillId="6" borderId="25" applyNumberFormat="1" applyFont="1" applyFill="1" applyBorder="1" applyAlignment="1" applyProtection="0">
      <alignment horizontal="center" vertical="center"/>
    </xf>
    <xf numFmtId="0" fontId="14" fillId="6" borderId="25" applyNumberFormat="0" applyFont="1" applyFill="1" applyBorder="1" applyAlignment="1" applyProtection="0">
      <alignment horizontal="center" vertical="center"/>
    </xf>
    <xf numFmtId="0" fontId="14" fillId="4" borderId="26" applyNumberFormat="0" applyFont="1" applyFill="1" applyBorder="1" applyAlignment="1" applyProtection="0">
      <alignment horizontal="center" vertical="center"/>
    </xf>
    <xf numFmtId="0" fontId="0" fillId="4" borderId="7" applyNumberFormat="0" applyFont="1" applyFill="1" applyBorder="1" applyAlignment="1" applyProtection="0">
      <alignment horizontal="center" vertical="center"/>
    </xf>
    <xf numFmtId="0" fontId="0" fillId="4" borderId="7" applyNumberFormat="0" applyFont="1" applyFill="1" applyBorder="1" applyAlignment="1" applyProtection="0">
      <alignment vertical="center"/>
    </xf>
    <xf numFmtId="49" fontId="19" fillId="6" borderId="27" applyNumberFormat="1" applyFont="1" applyFill="1" applyBorder="1" applyAlignment="1" applyProtection="0">
      <alignment horizontal="center" vertical="center"/>
    </xf>
    <xf numFmtId="49" fontId="19" fillId="4" borderId="28" applyNumberFormat="1" applyFont="1" applyFill="1" applyBorder="1" applyAlignment="1" applyProtection="0">
      <alignment horizontal="center" vertical="top" wrapText="1"/>
    </xf>
    <xf numFmtId="0" fontId="21" fillId="4" borderId="29" applyNumberFormat="0" applyFont="1" applyFill="1" applyBorder="1" applyAlignment="1" applyProtection="0">
      <alignment horizontal="center" vertical="top" wrapText="1"/>
    </xf>
    <xf numFmtId="49" fontId="19" fillId="4" borderId="29" applyNumberFormat="1" applyFont="1" applyFill="1" applyBorder="1" applyAlignment="1" applyProtection="0">
      <alignment horizontal="center" vertical="top" wrapText="1"/>
    </xf>
    <xf numFmtId="49" fontId="19" fillId="4" borderId="30" applyNumberFormat="1" applyFont="1" applyFill="1" applyBorder="1" applyAlignment="1" applyProtection="0">
      <alignment vertical="center" wrapText="1"/>
    </xf>
    <xf numFmtId="49" fontId="22" fillId="4" borderId="31" applyNumberFormat="1" applyFont="1" applyFill="1" applyBorder="1" applyAlignment="1" applyProtection="0">
      <alignment horizontal="left" vertical="center"/>
    </xf>
    <xf numFmtId="0" fontId="22" fillId="4" borderId="31" applyNumberFormat="0" applyFont="1" applyFill="1" applyBorder="1" applyAlignment="1" applyProtection="0">
      <alignment horizontal="left" vertical="center"/>
    </xf>
    <xf numFmtId="0" fontId="22" fillId="4" borderId="32" applyNumberFormat="0" applyFont="1" applyFill="1" applyBorder="1" applyAlignment="1" applyProtection="0">
      <alignment horizontal="left" vertical="center"/>
    </xf>
    <xf numFmtId="0" fontId="19" fillId="6" borderId="33" applyNumberFormat="0" applyFont="1" applyFill="1" applyBorder="1" applyAlignment="1" applyProtection="0">
      <alignment horizontal="center" vertical="center"/>
    </xf>
    <xf numFmtId="49" fontId="19" fillId="4" borderId="34" applyNumberFormat="1" applyFont="1" applyFill="1" applyBorder="1" applyAlignment="1" applyProtection="0">
      <alignment horizontal="left" vertical="center" wrapText="1"/>
    </xf>
    <xf numFmtId="0" fontId="19" fillId="4" borderId="35" applyNumberFormat="0" applyFont="1" applyFill="1" applyBorder="1" applyAlignment="1" applyProtection="0">
      <alignment horizontal="left" vertical="center" wrapText="1"/>
    </xf>
    <xf numFmtId="0" fontId="19" fillId="4" borderId="1" applyNumberFormat="0" applyFont="1" applyFill="1" applyBorder="1" applyAlignment="1" applyProtection="0">
      <alignment horizontal="left" vertical="center" wrapText="1"/>
    </xf>
    <xf numFmtId="0" fontId="19" fillId="4" borderId="36" applyNumberFormat="0" applyFont="1" applyFill="1" applyBorder="1" applyAlignment="1" applyProtection="0">
      <alignment horizontal="left" vertical="center" wrapText="1"/>
    </xf>
    <xf numFmtId="49" fontId="17" fillId="6" borderId="37" applyNumberFormat="1" applyFont="1" applyFill="1" applyBorder="1" applyAlignment="1" applyProtection="0">
      <alignment horizontal="center" vertical="center"/>
    </xf>
    <xf numFmtId="49" fontId="17" fillId="6" borderId="38" applyNumberFormat="1" applyFont="1" applyFill="1" applyBorder="1" applyAlignment="1" applyProtection="0">
      <alignment horizontal="center" vertical="center"/>
    </xf>
    <xf numFmtId="49" fontId="17" fillId="6" borderId="39" applyNumberFormat="1" applyFont="1" applyFill="1" applyBorder="1" applyAlignment="1" applyProtection="0">
      <alignment horizontal="center" vertical="center"/>
    </xf>
    <xf numFmtId="0" fontId="19" fillId="6" borderId="40" applyNumberFormat="0" applyFont="1" applyFill="1" applyBorder="1" applyAlignment="1" applyProtection="0">
      <alignment horizontal="center" vertical="center"/>
    </xf>
    <xf numFmtId="0" fontId="19" fillId="4" borderId="41" applyNumberFormat="0" applyFont="1" applyFill="1" applyBorder="1" applyAlignment="1" applyProtection="0">
      <alignment horizontal="left" vertical="center" wrapText="1"/>
    </xf>
    <xf numFmtId="0" fontId="19" fillId="4" borderId="12" applyNumberFormat="0" applyFont="1" applyFill="1" applyBorder="1" applyAlignment="1" applyProtection="0">
      <alignment horizontal="left" vertical="center" wrapText="1"/>
    </xf>
    <xf numFmtId="0" fontId="19" fillId="4" borderId="13" applyNumberFormat="0" applyFont="1" applyFill="1" applyBorder="1" applyAlignment="1" applyProtection="0">
      <alignment horizontal="left" vertical="center" wrapText="1"/>
    </xf>
    <xf numFmtId="49" fontId="0" fillId="4" borderId="21" applyNumberFormat="1" applyFont="1" applyFill="1" applyBorder="1" applyAlignment="1" applyProtection="0">
      <alignment vertical="center"/>
    </xf>
    <xf numFmtId="49" fontId="17" fillId="4" borderId="14" applyNumberFormat="1" applyFont="1" applyFill="1" applyBorder="1" applyAlignment="1" applyProtection="0">
      <alignment horizontal="center" vertical="center"/>
    </xf>
    <xf numFmtId="0" fontId="23" fillId="4" borderId="25" applyNumberFormat="1" applyFont="1" applyFill="1" applyBorder="1" applyAlignment="1" applyProtection="0">
      <alignment vertical="center"/>
    </xf>
    <xf numFmtId="9" fontId="0" fillId="4" borderId="25" applyNumberFormat="1" applyFont="1" applyFill="1" applyBorder="1" applyAlignment="1" applyProtection="0">
      <alignment vertical="center"/>
    </xf>
    <xf numFmtId="0" fontId="0" fillId="4" borderId="25" applyNumberFormat="1" applyFont="1" applyFill="1" applyBorder="1" applyAlignment="1" applyProtection="0">
      <alignment vertical="center"/>
    </xf>
    <xf numFmtId="61" fontId="0" fillId="4" borderId="25" applyNumberFormat="1" applyFont="1" applyFill="1" applyBorder="1" applyAlignment="1" applyProtection="0">
      <alignment vertical="center"/>
    </xf>
    <xf numFmtId="10" fontId="0" fillId="4" borderId="26" applyNumberFormat="1" applyFont="1" applyFill="1" applyBorder="1" applyAlignment="1" applyProtection="0">
      <alignment vertical="center"/>
    </xf>
    <xf numFmtId="49" fontId="19" fillId="4" borderId="42" applyNumberFormat="1" applyFont="1" applyFill="1" applyBorder="1" applyAlignment="1" applyProtection="0">
      <alignment horizontal="left" vertical="center"/>
    </xf>
    <xf numFmtId="0" fontId="19" fillId="4" borderId="31" applyNumberFormat="0" applyFont="1" applyFill="1" applyBorder="1" applyAlignment="1" applyProtection="0">
      <alignment horizontal="left" vertical="center"/>
    </xf>
    <xf numFmtId="0" fontId="19" fillId="4" borderId="43" applyNumberFormat="0" applyFont="1" applyFill="1" applyBorder="1" applyAlignment="1" applyProtection="0">
      <alignment horizontal="left" vertical="center"/>
    </xf>
    <xf numFmtId="60" fontId="25" fillId="4" borderId="29" applyNumberFormat="1" applyFont="1" applyFill="1" applyBorder="1" applyAlignment="1" applyProtection="0">
      <alignment horizontal="center" vertical="center" wrapText="1"/>
    </xf>
    <xf numFmtId="49" fontId="19" fillId="4" borderId="44" applyNumberFormat="1" applyFont="1" applyFill="1" applyBorder="1" applyAlignment="1" applyProtection="0">
      <alignment vertical="center"/>
    </xf>
    <xf numFmtId="60" fontId="25" fillId="4" borderId="29" applyNumberFormat="1" applyFont="1" applyFill="1" applyBorder="1" applyAlignment="1" applyProtection="0">
      <alignment horizontal="center" vertical="center"/>
    </xf>
    <xf numFmtId="49" fontId="19" fillId="4" borderId="30" applyNumberFormat="1" applyFont="1" applyFill="1" applyBorder="1" applyAlignment="1" applyProtection="0">
      <alignment horizontal="center" vertical="center"/>
    </xf>
    <xf numFmtId="0" fontId="19" fillId="4" borderId="31" applyNumberFormat="0" applyFont="1" applyFill="1" applyBorder="1" applyAlignment="1" applyProtection="0">
      <alignment horizontal="center" vertical="center"/>
    </xf>
    <xf numFmtId="0" fontId="19" fillId="4" borderId="32" applyNumberFormat="0" applyFont="1" applyFill="1" applyBorder="1" applyAlignment="1" applyProtection="0">
      <alignment horizontal="center" vertical="center"/>
    </xf>
    <xf numFmtId="49" fontId="19" fillId="4" borderId="45" applyNumberFormat="1" applyFont="1" applyFill="1" applyBorder="1" applyAlignment="1" applyProtection="0">
      <alignment horizontal="left" vertical="top" wrapText="1"/>
    </xf>
    <xf numFmtId="0" fontId="19" fillId="4" borderId="1" applyNumberFormat="0" applyFont="1" applyFill="1" applyBorder="1" applyAlignment="1" applyProtection="0">
      <alignment horizontal="left" vertical="top" wrapText="1"/>
    </xf>
    <xf numFmtId="0" fontId="19" fillId="4" borderId="35" applyNumberFormat="0" applyFont="1" applyFill="1" applyBorder="1" applyAlignment="1" applyProtection="0">
      <alignment horizontal="left" vertical="top" wrapText="1"/>
    </xf>
    <xf numFmtId="0" fontId="19" fillId="4" borderId="36" applyNumberFormat="0" applyFont="1" applyFill="1" applyBorder="1" applyAlignment="1" applyProtection="0">
      <alignment horizontal="left" vertical="top" wrapText="1"/>
    </xf>
    <xf numFmtId="0" fontId="0" fillId="8" borderId="25" applyNumberFormat="1" applyFont="1" applyFill="1" applyBorder="1" applyAlignment="1" applyProtection="0">
      <alignment vertical="center"/>
    </xf>
    <xf numFmtId="0" fontId="0" fillId="4" borderId="9" applyNumberFormat="0" applyFont="1" applyFill="1" applyBorder="1" applyAlignment="1" applyProtection="0">
      <alignment horizontal="center" vertical="center"/>
    </xf>
    <xf numFmtId="0" fontId="9" fillId="4" borderId="1" applyNumberFormat="0" applyFont="1" applyFill="1" applyBorder="1" applyAlignment="1" applyProtection="0">
      <alignment horizontal="center" vertical="center"/>
    </xf>
    <xf numFmtId="0" fontId="19" fillId="4" borderId="45" applyNumberFormat="0" applyFont="1" applyFill="1" applyBorder="1" applyAlignment="1" applyProtection="0">
      <alignment horizontal="left" vertical="top" wrapText="1"/>
    </xf>
    <xf numFmtId="10" fontId="17" fillId="4" borderId="26" applyNumberFormat="1" applyFont="1" applyFill="1" applyBorder="1" applyAlignment="1" applyProtection="0">
      <alignment vertical="center"/>
    </xf>
    <xf numFmtId="49" fontId="19" fillId="4" borderId="45" applyNumberFormat="1" applyFont="1" applyFill="1" applyBorder="1" applyAlignment="1" applyProtection="0">
      <alignment horizontal="left" vertical="center" wrapText="1"/>
    </xf>
    <xf numFmtId="49" fontId="17" fillId="4" borderId="46" applyNumberFormat="1" applyFont="1" applyFill="1" applyBorder="1" applyAlignment="1" applyProtection="0">
      <alignment horizontal="center" vertical="center"/>
    </xf>
    <xf numFmtId="0" fontId="0" fillId="4" borderId="47" applyNumberFormat="0" applyFont="1" applyFill="1" applyBorder="1" applyAlignment="1" applyProtection="0">
      <alignment vertical="center"/>
    </xf>
    <xf numFmtId="0" fontId="0" fillId="4" borderId="47" applyNumberFormat="1" applyFont="1" applyFill="1" applyBorder="1" applyAlignment="1" applyProtection="0">
      <alignment vertical="center"/>
    </xf>
    <xf numFmtId="62" fontId="23" fillId="4" borderId="47" applyNumberFormat="1" applyFont="1" applyFill="1" applyBorder="1" applyAlignment="1" applyProtection="0">
      <alignment vertical="center"/>
    </xf>
    <xf numFmtId="10" fontId="0" fillId="4" borderId="48" applyNumberFormat="1" applyFont="1" applyFill="1" applyBorder="1" applyAlignment="1" applyProtection="0">
      <alignment vertical="center"/>
    </xf>
    <xf numFmtId="0" fontId="19" fillId="4" borderId="45" applyNumberFormat="0" applyFont="1" applyFill="1" applyBorder="1" applyAlignment="1" applyProtection="0">
      <alignment horizontal="left" vertical="center" wrapText="1"/>
    </xf>
    <xf numFmtId="0" fontId="19" fillId="4" borderId="49" applyNumberFormat="0" applyFont="1" applyFill="1" applyBorder="1" applyAlignment="1" applyProtection="0">
      <alignment horizontal="left" vertical="center" wrapText="1"/>
    </xf>
    <xf numFmtId="0" fontId="19" fillId="4" borderId="50" applyNumberFormat="0" applyFont="1" applyFill="1" applyBorder="1" applyAlignment="1" applyProtection="0">
      <alignment horizontal="left" vertical="center" wrapText="1"/>
    </xf>
    <xf numFmtId="0" fontId="16" fillId="4" borderId="1" applyNumberFormat="0" applyFont="1" applyFill="1" applyBorder="1" applyAlignment="1" applyProtection="0">
      <alignment horizontal="center" vertical="center"/>
    </xf>
    <xf numFmtId="59" fontId="26" fillId="4" borderId="1" applyNumberFormat="1" applyFont="1" applyFill="1" applyBorder="1" applyAlignment="1" applyProtection="0">
      <alignment horizontal="center" vertical="center"/>
    </xf>
    <xf numFmtId="49" fontId="27" fillId="4" borderId="1" applyNumberFormat="1" applyFont="1" applyFill="1" applyBorder="1" applyAlignment="1" applyProtection="0">
      <alignment vertical="center"/>
    </xf>
    <xf numFmtId="59" fontId="17" fillId="4" borderId="1" applyNumberFormat="1" applyFont="1" applyFill="1" applyBorder="1" applyAlignment="1" applyProtection="0">
      <alignment vertical="center"/>
    </xf>
    <xf numFmtId="59" fontId="27" fillId="4" borderId="1" applyNumberFormat="1" applyFont="1" applyFill="1" applyBorder="1" applyAlignment="1" applyProtection="0">
      <alignment vertical="center"/>
    </xf>
    <xf numFmtId="49" fontId="19" fillId="4" borderId="45" applyNumberFormat="1" applyFont="1" applyFill="1" applyBorder="1" applyAlignment="1" applyProtection="0">
      <alignment horizontal="left" vertical="center"/>
    </xf>
    <xf numFmtId="0" fontId="19" fillId="4" borderId="1" applyNumberFormat="0" applyFont="1" applyFill="1" applyBorder="1" applyAlignment="1" applyProtection="0">
      <alignment horizontal="left" vertical="center"/>
    </xf>
    <xf numFmtId="0" fontId="19" fillId="4" borderId="51" applyNumberFormat="0" applyFont="1" applyFill="1" applyBorder="1" applyAlignment="1" applyProtection="0">
      <alignment horizontal="left" vertical="center"/>
    </xf>
    <xf numFmtId="63" fontId="25" fillId="5" borderId="52" applyNumberFormat="1" applyFont="1" applyFill="1" applyBorder="1" applyAlignment="1" applyProtection="0">
      <alignment vertical="center"/>
    </xf>
    <xf numFmtId="49" fontId="19" fillId="4" borderId="52" applyNumberFormat="1" applyFont="1" applyFill="1" applyBorder="1" applyAlignment="1" applyProtection="0">
      <alignment horizontal="left" vertical="center" wrapText="1"/>
    </xf>
    <xf numFmtId="60" fontId="19" fillId="4" borderId="52" applyNumberFormat="1" applyFont="1" applyFill="1" applyBorder="1" applyAlignment="1" applyProtection="0">
      <alignment horizontal="left" vertical="center" wrapText="1"/>
    </xf>
    <xf numFmtId="60" fontId="19" fillId="4" borderId="53" applyNumberFormat="1" applyFont="1" applyFill="1" applyBorder="1" applyAlignment="1" applyProtection="0">
      <alignment horizontal="left" vertical="center" wrapText="1"/>
    </xf>
    <xf numFmtId="10" fontId="0" fillId="4" borderId="1" applyNumberFormat="1" applyFont="1" applyFill="1" applyBorder="1" applyAlignment="1" applyProtection="0">
      <alignment vertical="center"/>
    </xf>
    <xf numFmtId="49" fontId="19" fillId="4" borderId="45" applyNumberFormat="1" applyFont="1" applyFill="1" applyBorder="1" applyAlignment="1" applyProtection="0">
      <alignment vertical="top" wrapText="1"/>
    </xf>
    <xf numFmtId="0" fontId="19" fillId="4" borderId="1" applyNumberFormat="0" applyFont="1" applyFill="1" applyBorder="1" applyAlignment="1" applyProtection="0">
      <alignment vertical="top" wrapText="1"/>
    </xf>
    <xf numFmtId="0" fontId="19" fillId="4" borderId="35" applyNumberFormat="0" applyFont="1" applyFill="1" applyBorder="1" applyAlignment="1" applyProtection="0">
      <alignment vertical="top" wrapText="1"/>
    </xf>
    <xf numFmtId="0" fontId="19" fillId="4" borderId="54" applyNumberFormat="0" applyFont="1" applyFill="1" applyBorder="1" applyAlignment="1" applyProtection="0">
      <alignment vertical="top" wrapText="1"/>
    </xf>
    <xf numFmtId="49" fontId="30" fillId="4" borderId="1" applyNumberFormat="1" applyFont="1" applyFill="1" applyBorder="1" applyAlignment="1" applyProtection="0">
      <alignment vertical="center"/>
    </xf>
    <xf numFmtId="0" fontId="30" fillId="4" borderId="1" applyNumberFormat="0" applyFont="1" applyFill="1" applyBorder="1" applyAlignment="1" applyProtection="0">
      <alignment vertical="center"/>
    </xf>
    <xf numFmtId="10" fontId="30" fillId="4" borderId="1" applyNumberFormat="1" applyFont="1" applyFill="1" applyBorder="1" applyAlignment="1" applyProtection="0">
      <alignment vertical="center"/>
    </xf>
    <xf numFmtId="0" fontId="19" fillId="4" borderId="36" applyNumberFormat="0" applyFont="1" applyFill="1" applyBorder="1" applyAlignment="1" applyProtection="0">
      <alignment vertical="top" wrapText="1"/>
    </xf>
    <xf numFmtId="49" fontId="29" fillId="4" borderId="41" applyNumberFormat="1" applyFont="1" applyFill="1" applyBorder="1" applyAlignment="1" applyProtection="0">
      <alignment horizontal="left" vertical="top" wrapText="1"/>
    </xf>
    <xf numFmtId="0" fontId="29" fillId="4" borderId="12" applyNumberFormat="0" applyFont="1" applyFill="1" applyBorder="1" applyAlignment="1" applyProtection="0">
      <alignment horizontal="left" vertical="top" wrapText="1"/>
    </xf>
    <xf numFmtId="0" fontId="29" fillId="4" borderId="13" applyNumberFormat="0" applyFont="1" applyFill="1" applyBorder="1" applyAlignment="1" applyProtection="0">
      <alignment horizontal="left" vertical="top" wrapText="1"/>
    </xf>
    <xf numFmtId="49" fontId="19" fillId="6" borderId="27" applyNumberFormat="1" applyFont="1" applyFill="1" applyBorder="1" applyAlignment="1" applyProtection="0">
      <alignment horizontal="center" vertical="center" wrapText="1"/>
    </xf>
    <xf numFmtId="49" fontId="19" fillId="4" borderId="55" applyNumberFormat="1" applyFont="1" applyFill="1" applyBorder="1" applyAlignment="1" applyProtection="0">
      <alignment horizontal="center" vertical="center" wrapText="1"/>
    </xf>
    <xf numFmtId="0" fontId="19" fillId="4" borderId="56" applyNumberFormat="0" applyFont="1" applyFill="1" applyBorder="1" applyAlignment="1" applyProtection="0">
      <alignment horizontal="center" vertical="center" wrapText="1"/>
    </xf>
    <xf numFmtId="49" fontId="19" fillId="4" borderId="57" applyNumberFormat="1" applyFont="1" applyFill="1" applyBorder="1" applyAlignment="1" applyProtection="0">
      <alignment horizontal="center" vertical="center"/>
    </xf>
    <xf numFmtId="49" fontId="19" fillId="4" borderId="58" applyNumberFormat="1" applyFont="1" applyFill="1" applyBorder="1" applyAlignment="1" applyProtection="0">
      <alignment horizontal="center" vertical="center"/>
    </xf>
    <xf numFmtId="0" fontId="19" fillId="4" borderId="56" applyNumberFormat="0" applyFont="1" applyFill="1" applyBorder="1" applyAlignment="1" applyProtection="0">
      <alignment horizontal="center" vertical="center"/>
    </xf>
    <xf numFmtId="0" fontId="19" fillId="4" borderId="59" applyNumberFormat="0" applyFont="1" applyFill="1" applyBorder="1" applyAlignment="1" applyProtection="0">
      <alignment horizontal="center" vertical="center"/>
    </xf>
    <xf numFmtId="0" fontId="9" fillId="4" borderId="1" applyNumberFormat="0" applyFont="1" applyFill="1" applyBorder="1" applyAlignment="1" applyProtection="0">
      <alignment vertical="center"/>
    </xf>
    <xf numFmtId="0" fontId="19" fillId="6" borderId="33" applyNumberFormat="0" applyFont="1" applyFill="1" applyBorder="1" applyAlignment="1" applyProtection="0">
      <alignment horizontal="center" vertical="center" wrapText="1"/>
    </xf>
    <xf numFmtId="49" fontId="19" fillId="4" borderId="60" applyNumberFormat="1" applyFont="1" applyFill="1" applyBorder="1" applyAlignment="1" applyProtection="0">
      <alignment horizontal="center" vertical="center" wrapText="1"/>
    </xf>
    <xf numFmtId="0" fontId="19" fillId="4" borderId="61" applyNumberFormat="0" applyFont="1" applyFill="1" applyBorder="1" applyAlignment="1" applyProtection="0">
      <alignment horizontal="center" vertical="center" wrapText="1"/>
    </xf>
    <xf numFmtId="10" fontId="19" fillId="4" borderId="62" applyNumberFormat="1" applyFont="1" applyFill="1" applyBorder="1" applyAlignment="1" applyProtection="0">
      <alignment horizontal="center" vertical="center"/>
    </xf>
    <xf numFmtId="10" fontId="19" fillId="4" borderId="63" applyNumberFormat="1" applyFont="1" applyFill="1" applyBorder="1" applyAlignment="1" applyProtection="0">
      <alignment horizontal="center" vertical="center"/>
    </xf>
    <xf numFmtId="10" fontId="19" fillId="4" borderId="61" applyNumberFormat="1" applyFont="1" applyFill="1" applyBorder="1" applyAlignment="1" applyProtection="0">
      <alignment horizontal="center" vertical="center"/>
    </xf>
    <xf numFmtId="10" fontId="19" fillId="4" borderId="64" applyNumberFormat="1" applyFont="1" applyFill="1" applyBorder="1" applyAlignment="1" applyProtection="0">
      <alignment horizontal="center" vertical="center"/>
    </xf>
    <xf numFmtId="0" fontId="19" fillId="6" borderId="40" applyNumberFormat="0" applyFont="1" applyFill="1" applyBorder="1" applyAlignment="1" applyProtection="0">
      <alignment horizontal="center" vertical="center" wrapText="1"/>
    </xf>
    <xf numFmtId="49" fontId="19" fillId="4" borderId="65" applyNumberFormat="1" applyFont="1" applyFill="1" applyBorder="1" applyAlignment="1" applyProtection="0">
      <alignment horizontal="center" vertical="center" wrapText="1"/>
    </xf>
    <xf numFmtId="60" fontId="19" fillId="4" borderId="66" applyNumberFormat="1" applyFont="1" applyFill="1" applyBorder="1" applyAlignment="1" applyProtection="0">
      <alignment horizontal="center" vertical="center" wrapText="1"/>
    </xf>
    <xf numFmtId="60" fontId="19" fillId="4" borderId="66" applyNumberFormat="1" applyFont="1" applyFill="1" applyBorder="1" applyAlignment="1" applyProtection="0">
      <alignment horizontal="center" vertical="center"/>
    </xf>
    <xf numFmtId="60" fontId="19" fillId="4" borderId="67" applyNumberFormat="1" applyFont="1" applyFill="1" applyBorder="1" applyAlignment="1" applyProtection="0">
      <alignment horizontal="center" vertical="center"/>
    </xf>
    <xf numFmtId="60" fontId="19" fillId="4" borderId="68" applyNumberFormat="1" applyFont="1" applyFill="1" applyBorder="1" applyAlignment="1" applyProtection="0">
      <alignment horizontal="center" vertical="center"/>
    </xf>
    <xf numFmtId="64" fontId="19" fillId="4" borderId="67" applyNumberFormat="1" applyFont="1" applyFill="1" applyBorder="1" applyAlignment="1" applyProtection="0">
      <alignment horizontal="center" vertical="center"/>
    </xf>
    <xf numFmtId="64" fontId="19" fillId="4" borderId="69" applyNumberFormat="1" applyFont="1" applyFill="1" applyBorder="1" applyAlignment="1" applyProtection="0">
      <alignment horizontal="center" vertical="center"/>
    </xf>
    <xf numFmtId="49" fontId="19" fillId="4" borderId="42" applyNumberFormat="1" applyFont="1" applyFill="1" applyBorder="1" applyAlignment="1" applyProtection="0">
      <alignment horizontal="left" vertical="center" wrapText="1"/>
    </xf>
    <xf numFmtId="0" fontId="19" fillId="4" borderId="31" applyNumberFormat="0" applyFont="1" applyFill="1" applyBorder="1" applyAlignment="1" applyProtection="0">
      <alignment horizontal="left" vertical="center" wrapText="1"/>
    </xf>
    <xf numFmtId="0" fontId="19" fillId="4" borderId="32" applyNumberFormat="0" applyFont="1" applyFill="1" applyBorder="1" applyAlignment="1" applyProtection="0">
      <alignment horizontal="left" vertical="center" wrapText="1"/>
    </xf>
    <xf numFmtId="59" fontId="0" fillId="4" borderId="1" applyNumberFormat="1" applyFont="1" applyFill="1" applyBorder="1" applyAlignment="1" applyProtection="0">
      <alignment vertical="center"/>
    </xf>
    <xf numFmtId="59" fontId="30" fillId="4" borderId="1" applyNumberFormat="1" applyFont="1" applyFill="1" applyBorder="1" applyAlignment="1" applyProtection="0">
      <alignment vertical="center"/>
    </xf>
    <xf numFmtId="65" fontId="30" fillId="4" borderId="1" applyNumberFormat="1" applyFont="1" applyFill="1" applyBorder="1" applyAlignment="1" applyProtection="0">
      <alignment vertical="center"/>
    </xf>
    <xf numFmtId="0" fontId="31" fillId="4" borderId="1" applyNumberFormat="0" applyFont="1" applyFill="1" applyBorder="1" applyAlignment="1" applyProtection="0">
      <alignment vertical="center" wrapText="1"/>
    </xf>
    <xf numFmtId="59" fontId="31" fillId="4" borderId="1" applyNumberFormat="1" applyFont="1" applyFill="1" applyBorder="1" applyAlignment="1" applyProtection="0">
      <alignment vertical="center" wrapText="1"/>
    </xf>
    <xf numFmtId="49" fontId="19" fillId="6" borderId="14" applyNumberFormat="1" applyFont="1" applyFill="1" applyBorder="1" applyAlignment="1" applyProtection="0">
      <alignment horizontal="center" vertical="center"/>
    </xf>
    <xf numFmtId="49" fontId="19" fillId="4" borderId="15" applyNumberFormat="1" applyFont="1" applyFill="1" applyBorder="1" applyAlignment="1" applyProtection="0">
      <alignment horizontal="left" vertical="center" wrapText="1"/>
    </xf>
    <xf numFmtId="0" fontId="19" fillId="4" borderId="16" applyNumberFormat="0" applyFont="1" applyFill="1" applyBorder="1" applyAlignment="1" applyProtection="0">
      <alignment horizontal="left" vertical="center" wrapText="1"/>
    </xf>
    <xf numFmtId="0" fontId="19" fillId="4" borderId="20" applyNumberFormat="0" applyFont="1" applyFill="1" applyBorder="1" applyAlignment="1" applyProtection="0">
      <alignment horizontal="left" vertical="center" wrapText="1"/>
    </xf>
    <xf numFmtId="49" fontId="31" fillId="4" borderId="1" applyNumberFormat="1" applyFont="1" applyFill="1" applyBorder="1" applyAlignment="1" applyProtection="0">
      <alignment horizontal="left" vertical="center" wrapText="1"/>
    </xf>
    <xf numFmtId="0" fontId="31" fillId="4" borderId="1" applyNumberFormat="0" applyFont="1" applyFill="1" applyBorder="1" applyAlignment="1" applyProtection="0">
      <alignment horizontal="left" vertical="center" wrapText="1"/>
    </xf>
    <xf numFmtId="0" fontId="0" fillId="4" borderId="49" applyNumberFormat="0" applyFont="1" applyFill="1" applyBorder="1" applyAlignment="1" applyProtection="0">
      <alignment horizontal="center" vertical="center"/>
    </xf>
    <xf numFmtId="0" fontId="0" fillId="4" borderId="70" applyNumberFormat="0" applyFont="1" applyFill="1" applyBorder="1" applyAlignment="1" applyProtection="0">
      <alignment vertical="center"/>
    </xf>
    <xf numFmtId="0" fontId="19" fillId="4" borderId="52" applyNumberFormat="0" applyFont="1" applyFill="1" applyBorder="1" applyAlignment="1" applyProtection="0">
      <alignment horizontal="center" vertical="center"/>
    </xf>
    <xf numFmtId="59" fontId="0" fillId="4" borderId="71" applyNumberFormat="1" applyFont="1" applyFill="1" applyBorder="1" applyAlignment="1" applyProtection="0">
      <alignment horizontal="center" vertical="center"/>
    </xf>
    <xf numFmtId="10" fontId="19" fillId="4" borderId="52" applyNumberFormat="1" applyFont="1" applyFill="1" applyBorder="1" applyAlignment="1" applyProtection="0">
      <alignment horizontal="center" vertical="center"/>
    </xf>
    <xf numFmtId="9" fontId="0" fillId="4" borderId="71" applyNumberFormat="1" applyFont="1" applyFill="1" applyBorder="1" applyAlignment="1" applyProtection="0">
      <alignment vertical="center"/>
    </xf>
    <xf numFmtId="0" fontId="0" fillId="4" borderId="49" applyNumberFormat="0" applyFont="1" applyFill="1" applyBorder="1" applyAlignment="1" applyProtection="0">
      <alignment vertical="center"/>
    </xf>
    <xf numFmtId="60" fontId="33" fillId="4" borderId="52" applyNumberFormat="1" applyFont="1" applyFill="1" applyBorder="1" applyAlignment="1" applyProtection="0">
      <alignment horizontal="center" vertical="center"/>
    </xf>
    <xf numFmtId="59" fontId="27" fillId="4" borderId="72" applyNumberFormat="1" applyFont="1" applyFill="1" applyBorder="1" applyAlignment="1" applyProtection="0">
      <alignment vertical="center"/>
    </xf>
    <xf numFmtId="64" fontId="33" fillId="4" borderId="52" applyNumberFormat="1" applyFont="1" applyFill="1" applyBorder="1" applyAlignment="1" applyProtection="0">
      <alignment horizontal="center" vertical="center"/>
    </xf>
    <xf numFmtId="0" fontId="9" fillId="4" borderId="71" applyNumberFormat="0" applyFont="1" applyFill="1" applyBorder="1" applyAlignment="1" applyProtection="0">
      <alignment vertical="center"/>
    </xf>
    <xf numFmtId="60" fontId="25" fillId="4" borderId="52" applyNumberFormat="1" applyFont="1" applyFill="1" applyBorder="1" applyAlignment="1" applyProtection="0">
      <alignment horizontal="center" vertical="center"/>
    </xf>
    <xf numFmtId="59" fontId="23" fillId="4" borderId="72" applyNumberFormat="1" applyFont="1" applyFill="1" applyBorder="1" applyAlignment="1" applyProtection="0">
      <alignment vertical="center"/>
    </xf>
    <xf numFmtId="64" fontId="25" fillId="4" borderId="52" applyNumberFormat="1" applyFont="1" applyFill="1" applyBorder="1" applyAlignment="1" applyProtection="0">
      <alignment horizontal="center" vertical="center"/>
    </xf>
    <xf numFmtId="60" fontId="19" fillId="4" borderId="52" applyNumberFormat="1" applyFont="1" applyFill="1" applyBorder="1" applyAlignment="1" applyProtection="0">
      <alignment horizontal="center" vertical="center"/>
    </xf>
    <xf numFmtId="59" fontId="0" fillId="4" borderId="72" applyNumberFormat="1" applyFont="1" applyFill="1" applyBorder="1" applyAlignment="1" applyProtection="0">
      <alignment vertical="center"/>
    </xf>
    <xf numFmtId="64" fontId="19" fillId="4" borderId="52" applyNumberFormat="1" applyFont="1" applyFill="1" applyBorder="1" applyAlignment="1" applyProtection="0">
      <alignment horizontal="center" vertical="center"/>
    </xf>
    <xf numFmtId="49" fontId="19" fillId="4" borderId="15" applyNumberFormat="1" applyFont="1" applyFill="1" applyBorder="1" applyAlignment="1" applyProtection="0">
      <alignment horizontal="center" vertical="center" wrapText="1"/>
    </xf>
    <xf numFmtId="0" fontId="19" fillId="4" borderId="17" applyNumberFormat="0" applyFont="1" applyFill="1" applyBorder="1" applyAlignment="1" applyProtection="0">
      <alignment horizontal="center" vertical="center" wrapText="1"/>
    </xf>
    <xf numFmtId="49" fontId="34" fillId="4" borderId="25" applyNumberFormat="1" applyFont="1" applyFill="1" applyBorder="1" applyAlignment="1" applyProtection="0">
      <alignment horizontal="left" vertical="center" wrapText="1"/>
    </xf>
    <xf numFmtId="0" fontId="0" fillId="4" borderId="73" applyNumberFormat="0" applyFont="1" applyFill="1" applyBorder="1" applyAlignment="1" applyProtection="0">
      <alignment vertical="center"/>
    </xf>
    <xf numFmtId="49" fontId="35" fillId="4" borderId="15" applyNumberFormat="1" applyFont="1" applyFill="1" applyBorder="1" applyAlignment="1" applyProtection="0">
      <alignment horizontal="center" vertical="center" wrapText="1"/>
    </xf>
    <xf numFmtId="0" fontId="35" fillId="4" borderId="17" applyNumberFormat="0" applyFont="1" applyFill="1" applyBorder="1" applyAlignment="1" applyProtection="0">
      <alignment horizontal="center" vertical="center" wrapText="1"/>
    </xf>
    <xf numFmtId="49" fontId="35" fillId="4" borderId="25" applyNumberFormat="1" applyFont="1" applyFill="1" applyBorder="1" applyAlignment="1" applyProtection="0">
      <alignment horizontal="center" vertical="center" wrapText="1"/>
    </xf>
    <xf numFmtId="49" fontId="19" fillId="6" borderId="14" applyNumberFormat="1" applyFont="1" applyFill="1" applyBorder="1" applyAlignment="1" applyProtection="0">
      <alignment horizontal="center" vertical="center" wrapText="1"/>
    </xf>
    <xf numFmtId="49" fontId="19" fillId="4" borderId="15" applyNumberFormat="1" applyFont="1" applyFill="1" applyBorder="1" applyAlignment="1" applyProtection="0">
      <alignment horizontal="left" vertical="center"/>
    </xf>
    <xf numFmtId="0" fontId="19" fillId="4" borderId="16" applyNumberFormat="0" applyFont="1" applyFill="1" applyBorder="1" applyAlignment="1" applyProtection="0">
      <alignment horizontal="left" vertical="center"/>
    </xf>
    <xf numFmtId="0" fontId="19" fillId="4" borderId="20" applyNumberFormat="0" applyFont="1" applyFill="1" applyBorder="1" applyAlignment="1" applyProtection="0">
      <alignment horizontal="left" vertical="center"/>
    </xf>
    <xf numFmtId="0" fontId="0" fillId="4" borderId="35" applyNumberFormat="0" applyFont="1" applyFill="1" applyBorder="1" applyAlignment="1" applyProtection="0">
      <alignment vertical="center"/>
    </xf>
    <xf numFmtId="49" fontId="19" fillId="4" borderId="74" applyNumberFormat="1" applyFont="1" applyFill="1" applyBorder="1" applyAlignment="1" applyProtection="0">
      <alignment horizontal="center" vertical="center" wrapText="1"/>
    </xf>
    <xf numFmtId="0" fontId="36" fillId="4" borderId="75" applyNumberFormat="0" applyFont="1" applyFill="1" applyBorder="1" applyAlignment="1" applyProtection="0">
      <alignment horizontal="center" vertical="center" wrapText="1"/>
    </xf>
    <xf numFmtId="0" fontId="36" fillId="4" borderId="76" applyNumberFormat="0" applyFont="1" applyFill="1" applyBorder="1" applyAlignment="1" applyProtection="0">
      <alignment horizontal="center" vertical="center" wrapText="1"/>
    </xf>
    <xf numFmtId="49" fontId="19" fillId="9" borderId="77" applyNumberFormat="1" applyFont="1" applyFill="1" applyBorder="1" applyAlignment="1" applyProtection="0">
      <alignment horizontal="center" vertical="center"/>
    </xf>
    <xf numFmtId="0" fontId="19" fillId="9" borderId="78" applyNumberFormat="0" applyFont="1" applyFill="1" applyBorder="1" applyAlignment="1" applyProtection="0">
      <alignment horizontal="center" vertical="center"/>
    </xf>
    <xf numFmtId="49" fontId="19" fillId="9" borderId="78" applyNumberFormat="1" applyFont="1" applyFill="1" applyBorder="1" applyAlignment="1" applyProtection="0">
      <alignment horizontal="center" vertical="center"/>
    </xf>
    <xf numFmtId="0" fontId="19" fillId="9" borderId="79" applyNumberFormat="0" applyFont="1" applyFill="1" applyBorder="1" applyAlignment="1" applyProtection="0">
      <alignment horizontal="center" vertical="center"/>
    </xf>
    <xf numFmtId="49" fontId="7" fillId="4" borderId="80" applyNumberFormat="1" applyFont="1" applyFill="1" applyBorder="1" applyAlignment="1" applyProtection="0">
      <alignment horizontal="center" vertical="center"/>
    </xf>
    <xf numFmtId="0" fontId="7" fillId="4" borderId="81" applyNumberFormat="0" applyFont="1" applyFill="1" applyBorder="1" applyAlignment="1" applyProtection="0">
      <alignment horizontal="center" vertical="center"/>
    </xf>
    <xf numFmtId="49" fontId="7" fillId="4" borderId="81" applyNumberFormat="1" applyFont="1" applyFill="1" applyBorder="1" applyAlignment="1" applyProtection="0">
      <alignment horizontal="center" vertical="center"/>
    </xf>
    <xf numFmtId="49" fontId="19" fillId="4" borderId="81" applyNumberFormat="1" applyFont="1" applyFill="1" applyBorder="1" applyAlignment="1" applyProtection="0">
      <alignment horizontal="center" vertical="center"/>
    </xf>
    <xf numFmtId="49" fontId="25" fillId="4" borderId="82" applyNumberFormat="1" applyFont="1" applyFill="1" applyBorder="1" applyAlignment="1" applyProtection="0">
      <alignment horizontal="center" vertical="center"/>
    </xf>
    <xf numFmtId="0" fontId="25" fillId="4" borderId="82" applyNumberFormat="0" applyFont="1" applyFill="1" applyBorder="1" applyAlignment="1" applyProtection="0">
      <alignment horizontal="center" vertical="center"/>
    </xf>
    <xf numFmtId="0" fontId="25" fillId="4" borderId="83" applyNumberFormat="0" applyFont="1" applyFill="1" applyBorder="1" applyAlignment="1" applyProtection="0">
      <alignment horizontal="center" vertical="center"/>
    </xf>
    <xf numFmtId="49" fontId="7" fillId="4" borderId="84" applyNumberFormat="1" applyFont="1" applyFill="1" applyBorder="1" applyAlignment="1" applyProtection="0">
      <alignment horizontal="center" vertical="center"/>
    </xf>
    <xf numFmtId="0" fontId="7" fillId="4" borderId="85" applyNumberFormat="0" applyFont="1" applyFill="1" applyBorder="1" applyAlignment="1" applyProtection="0">
      <alignment horizontal="center" vertical="center"/>
    </xf>
    <xf numFmtId="49" fontId="7" fillId="4" borderId="85" applyNumberFormat="1" applyFont="1" applyFill="1" applyBorder="1" applyAlignment="1" applyProtection="0">
      <alignment horizontal="center" vertical="center"/>
    </xf>
    <xf numFmtId="49" fontId="19" fillId="4" borderId="86" applyNumberFormat="1" applyFont="1" applyFill="1" applyBorder="1" applyAlignment="1" applyProtection="0">
      <alignment horizontal="center" vertical="center"/>
    </xf>
    <xf numFmtId="49" fontId="7" fillId="4" borderId="62" applyNumberFormat="1" applyFont="1" applyFill="1" applyBorder="1" applyAlignment="1" applyProtection="0">
      <alignment horizontal="center" vertical="center"/>
    </xf>
    <xf numFmtId="0" fontId="7" fillId="4" borderId="62" applyNumberFormat="0" applyFont="1" applyFill="1" applyBorder="1" applyAlignment="1" applyProtection="0">
      <alignment horizontal="center" vertical="center"/>
    </xf>
    <xf numFmtId="0" fontId="7" fillId="4" borderId="87" applyNumberFormat="0" applyFont="1" applyFill="1" applyBorder="1" applyAlignment="1" applyProtection="0">
      <alignment horizontal="center" vertical="center"/>
    </xf>
    <xf numFmtId="49" fontId="7" fillId="4" borderId="88" applyNumberFormat="1" applyFont="1" applyFill="1" applyBorder="1" applyAlignment="1" applyProtection="0">
      <alignment horizontal="center" vertical="center"/>
    </xf>
    <xf numFmtId="0" fontId="7" fillId="4" borderId="89" applyNumberFormat="0" applyFont="1" applyFill="1" applyBorder="1" applyAlignment="1" applyProtection="0">
      <alignment horizontal="center" vertical="center"/>
    </xf>
    <xf numFmtId="0" fontId="7" fillId="4" borderId="90" applyNumberFormat="0" applyFont="1" applyFill="1" applyBorder="1" applyAlignment="1" applyProtection="0">
      <alignment horizontal="center" vertical="center"/>
    </xf>
    <xf numFmtId="49" fontId="7" fillId="4" borderId="86" applyNumberFormat="1" applyFont="1" applyFill="1" applyBorder="1" applyAlignment="1" applyProtection="0">
      <alignment horizontal="center" vertical="center"/>
    </xf>
    <xf numFmtId="49" fontId="7" fillId="4" borderId="91" applyNumberFormat="1" applyFont="1" applyFill="1" applyBorder="1" applyAlignment="1" applyProtection="0">
      <alignment horizontal="center" vertical="center"/>
    </xf>
    <xf numFmtId="0" fontId="7" fillId="4" borderId="92" applyNumberFormat="0" applyFont="1" applyFill="1" applyBorder="1" applyAlignment="1" applyProtection="0">
      <alignment horizontal="center" vertical="center"/>
    </xf>
    <xf numFmtId="49" fontId="7" fillId="4" borderId="93" applyNumberFormat="1" applyFont="1" applyFill="1" applyBorder="1" applyAlignment="1" applyProtection="0">
      <alignment horizontal="right" vertical="center"/>
    </xf>
    <xf numFmtId="0" fontId="7" fillId="4" borderId="94" applyNumberFormat="0" applyFont="1" applyFill="1" applyBorder="1" applyAlignment="1" applyProtection="0">
      <alignment horizontal="right" vertical="center"/>
    </xf>
    <xf numFmtId="0" fontId="7" fillId="4" borderId="95" applyNumberFormat="0" applyFont="1" applyFill="1" applyBorder="1" applyAlignment="1" applyProtection="0">
      <alignment horizontal="right" vertical="center"/>
    </xf>
    <xf numFmtId="49" fontId="7" fillId="4" borderId="96" applyNumberFormat="1" applyFont="1" applyFill="1" applyBorder="1" applyAlignment="1" applyProtection="0">
      <alignment horizontal="center" vertical="center"/>
    </xf>
    <xf numFmtId="49" fontId="7" fillId="4" borderId="97" applyNumberFormat="1" applyFont="1" applyFill="1" applyBorder="1" applyAlignment="1" applyProtection="0">
      <alignment horizontal="center" vertical="center"/>
    </xf>
    <xf numFmtId="0" fontId="7" fillId="4" borderId="97" applyNumberFormat="0" applyFont="1" applyFill="1" applyBorder="1" applyAlignment="1" applyProtection="0">
      <alignment horizontal="center" vertical="center"/>
    </xf>
    <xf numFmtId="0" fontId="7" fillId="4" borderId="98" applyNumberFormat="0" applyFont="1" applyFill="1" applyBorder="1" applyAlignment="1" applyProtection="0">
      <alignment horizontal="center" vertical="center"/>
    </xf>
    <xf numFmtId="0" fontId="0" applyNumberFormat="1" applyFont="1" applyFill="0" applyBorder="0" applyAlignment="1" applyProtection="0">
      <alignment vertical="center"/>
    </xf>
    <xf numFmtId="0" fontId="14" fillId="5" borderId="4" applyNumberFormat="0" applyFont="1" applyFill="1" applyBorder="1" applyAlignment="1" applyProtection="0">
      <alignment horizontal="center" vertical="center" wrapText="1"/>
    </xf>
    <xf numFmtId="0" fontId="14" fillId="4" borderId="15" applyNumberFormat="0" applyFont="1" applyFill="1" applyBorder="1" applyAlignment="1" applyProtection="0">
      <alignment horizontal="center" vertical="center"/>
    </xf>
    <xf numFmtId="49" fontId="14" fillId="4" borderId="25" applyNumberFormat="1" applyFont="1" applyFill="1" applyBorder="1" applyAlignment="1" applyProtection="0">
      <alignment horizontal="center" vertical="center"/>
    </xf>
    <xf numFmtId="49" fontId="21" fillId="4" borderId="41" applyNumberFormat="1" applyFont="1" applyFill="1" applyBorder="1" applyAlignment="1" applyProtection="0">
      <alignment horizontal="left" vertical="top" wrapText="1"/>
    </xf>
    <xf numFmtId="0" fontId="21" fillId="4" borderId="12" applyNumberFormat="0" applyFont="1" applyFill="1" applyBorder="1" applyAlignment="1" applyProtection="0">
      <alignment horizontal="left" vertical="top" wrapText="1"/>
    </xf>
    <xf numFmtId="0" fontId="21" fillId="4" borderId="13" applyNumberFormat="0" applyFont="1" applyFill="1" applyBorder="1" applyAlignment="1" applyProtection="0">
      <alignment horizontal="left" vertical="top" wrapText="1"/>
    </xf>
    <xf numFmtId="49" fontId="34" fillId="4" borderId="26" applyNumberFormat="1" applyFont="1" applyFill="1" applyBorder="1" applyAlignment="1" applyProtection="0">
      <alignment horizontal="left" vertical="center" wrapText="1"/>
    </xf>
    <xf numFmtId="49" fontId="25" fillId="4" borderId="81" applyNumberFormat="1" applyFont="1" applyFill="1" applyBorder="1" applyAlignment="1" applyProtection="0">
      <alignment horizontal="center" vertical="center"/>
    </xf>
    <xf numFmtId="0" fontId="25" fillId="4" borderId="81" applyNumberFormat="0" applyFont="1" applyFill="1" applyBorder="1" applyAlignment="1" applyProtection="0">
      <alignment horizontal="center" vertical="center"/>
    </xf>
    <xf numFmtId="0" fontId="25" fillId="4" borderId="99" applyNumberFormat="0" applyFont="1" applyFill="1" applyBorder="1" applyAlignment="1" applyProtection="0">
      <alignment horizontal="center" vertical="center"/>
    </xf>
    <xf numFmtId="49" fontId="19" fillId="4" borderId="85" applyNumberFormat="1" applyFont="1" applyFill="1" applyBorder="1" applyAlignment="1" applyProtection="0">
      <alignment horizontal="center" vertical="center"/>
    </xf>
    <xf numFmtId="0" fontId="7" fillId="4" borderId="100" applyNumberFormat="0" applyFont="1" applyFill="1" applyBorder="1" applyAlignment="1" applyProtection="0">
      <alignment horizontal="center" vertical="center"/>
    </xf>
    <xf numFmtId="49" fontId="7" fillId="4" borderId="92" applyNumberFormat="1" applyFont="1" applyFill="1" applyBorder="1" applyAlignment="1" applyProtection="0">
      <alignment horizontal="right" vertical="center"/>
    </xf>
    <xf numFmtId="0" fontId="7" fillId="4" borderId="92" applyNumberFormat="0" applyFont="1" applyFill="1" applyBorder="1" applyAlignment="1" applyProtection="0">
      <alignment horizontal="right" vertical="center"/>
    </xf>
    <xf numFmtId="49" fontId="7" fillId="4" borderId="92" applyNumberFormat="1" applyFont="1" applyFill="1" applyBorder="1" applyAlignment="1" applyProtection="0">
      <alignment horizontal="center" vertical="center"/>
    </xf>
    <xf numFmtId="0" fontId="7" fillId="4" borderId="101" applyNumberFormat="0" applyFont="1" applyFill="1" applyBorder="1" applyAlignment="1" applyProtection="0">
      <alignment horizontal="center" vertical="center"/>
    </xf>
    <xf numFmtId="0" fontId="0" applyNumberFormat="1" applyFont="1" applyFill="0" applyBorder="0" applyAlignment="1" applyProtection="0">
      <alignment vertical="center"/>
    </xf>
    <xf numFmtId="49" fontId="14" fillId="5" borderId="4" applyNumberFormat="1" applyFont="1" applyFill="1" applyBorder="1" applyAlignment="1" applyProtection="0">
      <alignment horizontal="center" vertical="center" wrapText="1"/>
    </xf>
    <xf numFmtId="0" fontId="38" fillId="4" borderId="85" applyNumberFormat="0" applyFont="1" applyFill="1" applyBorder="1" applyAlignment="1" applyProtection="0">
      <alignment horizontal="center" vertical="center"/>
    </xf>
    <xf numFmtId="0" fontId="38" fillId="4" borderId="100" applyNumberFormat="0" applyFont="1" applyFill="1" applyBorder="1" applyAlignment="1" applyProtection="0">
      <alignment horizontal="center" vertical="center"/>
    </xf>
    <xf numFmtId="0" fontId="38" fillId="4" borderId="92" applyNumberFormat="0" applyFont="1" applyFill="1" applyBorder="1" applyAlignment="1" applyProtection="0">
      <alignment horizontal="center" vertical="center"/>
    </xf>
    <xf numFmtId="0" fontId="38" fillId="4" borderId="101" applyNumberFormat="0" applyFont="1" applyFill="1" applyBorder="1" applyAlignment="1" applyProtection="0">
      <alignment horizontal="center" vertical="center"/>
    </xf>
    <xf numFmtId="0" fontId="0" applyNumberFormat="1" applyFont="1" applyFill="0" applyBorder="0" applyAlignment="1" applyProtection="0">
      <alignment vertical="center"/>
    </xf>
    <xf numFmtId="0" fontId="0" applyNumberFormat="1" applyFont="1" applyFill="0" applyBorder="0" applyAlignment="1" applyProtection="0">
      <alignment vertical="center"/>
    </xf>
    <xf numFmtId="0" fontId="19" fillId="4" borderId="81" applyNumberFormat="0" applyFont="1" applyFill="1" applyBorder="1" applyAlignment="1" applyProtection="0">
      <alignment horizontal="center" vertical="center"/>
    </xf>
    <xf numFmtId="0" fontId="19" fillId="4" borderId="99" applyNumberFormat="0" applyFont="1" applyFill="1" applyBorder="1" applyAlignment="1" applyProtection="0">
      <alignment horizontal="center" vertical="center"/>
    </xf>
    <xf numFmtId="0" fontId="0" applyNumberFormat="1" applyFont="1" applyFill="0" applyBorder="0" applyAlignment="1" applyProtection="0">
      <alignment vertical="center"/>
    </xf>
    <xf numFmtId="0" fontId="0" applyNumberFormat="1" applyFont="1" applyFill="0" applyBorder="0" applyAlignment="1" applyProtection="0">
      <alignment vertical="center"/>
    </xf>
    <xf numFmtId="0" fontId="0" applyNumberFormat="1" applyFont="1" applyFill="0" applyBorder="0" applyAlignment="1" applyProtection="0">
      <alignment vertical="center"/>
    </xf>
    <xf numFmtId="0" fontId="0" applyNumberFormat="1" applyFont="1" applyFill="0" applyBorder="0" applyAlignment="1" applyProtection="0">
      <alignment vertical="center"/>
    </xf>
    <xf numFmtId="0" fontId="0" applyNumberFormat="1" applyFont="1" applyFill="0" applyBorder="0" applyAlignment="1" applyProtection="0">
      <alignment vertical="center"/>
    </xf>
    <xf numFmtId="0" fontId="0" applyNumberFormat="1" applyFont="1" applyFill="0" applyBorder="0" applyAlignment="1" applyProtection="0">
      <alignment vertical="center"/>
    </xf>
    <xf numFmtId="0" fontId="0" applyNumberFormat="1" applyFont="1" applyFill="0" applyBorder="0" applyAlignment="1" applyProtection="0">
      <alignment vertical="center"/>
    </xf>
  </cellXfs>
  <cellStyles count="1">
    <cellStyle name="Normal" xfId="0" builtinId="0"/>
  </cellStyles>
  <dxfs count="12">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b15d24"/>
      <rgbColor rgb="ffffff99"/>
      <rgbColor rgb="ffff0000"/>
      <rgbColor rgb="ffdeeaf6"/>
      <rgbColor rgb="ffcfcfcf"/>
      <rgbColor rgb="ffffff00"/>
      <rgbColor rgb="ff333399"/>
      <rgbColor rgb="ff0070c0"/>
      <rgbColor rgb="ff865357"/>
      <rgbColor rgb="ff000090"/>
      <rgbColor rgb="fff2f2f2"/>
      <rgbColor rgb="ff96969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4</xdr:col>
      <xdr:colOff>552450</xdr:colOff>
      <xdr:row>49</xdr:row>
      <xdr:rowOff>180974</xdr:rowOff>
    </xdr:from>
    <xdr:to>
      <xdr:col>4</xdr:col>
      <xdr:colOff>910575</xdr:colOff>
      <xdr:row>51</xdr:row>
      <xdr:rowOff>8205</xdr:rowOff>
    </xdr:to>
    <xdr:pic>
      <xdr:nvPicPr>
        <xdr:cNvPr id="8" name="그림 1" descr="그림 1"/>
        <xdr:cNvPicPr>
          <a:picLocks noChangeAspect="1"/>
        </xdr:cNvPicPr>
      </xdr:nvPicPr>
      <xdr:blipFill>
        <a:blip r:embed="rId1">
          <a:extLst/>
        </a:blip>
        <a:stretch>
          <a:fillRect/>
        </a:stretch>
      </xdr:blipFill>
      <xdr:spPr>
        <a:xfrm>
          <a:off x="4133850" y="13777594"/>
          <a:ext cx="358126" cy="417782"/>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8.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9.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0.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테마">
  <a:themeElements>
    <a:clrScheme name="Office 테마">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테마">
      <a:majorFont>
        <a:latin typeface="Helvetica Neue"/>
        <a:ea typeface="Helvetica Neue"/>
        <a:cs typeface="Helvetica Neue"/>
      </a:majorFont>
      <a:minorFont>
        <a:latin typeface="Helvetica Neue"/>
        <a:ea typeface="Helvetica Neue"/>
        <a:cs typeface="Helvetica Neue"/>
      </a:minorFont>
    </a:fontScheme>
    <a:fmtScheme name="Office 테마">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5.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vmlDrawing" Target="../drawings/vmlDrawing4.vml"/><Relationship Id="rId3" Type="http://schemas.openxmlformats.org/officeDocument/2006/relationships/comments" Target="../comments4.xml"/></Relationships>

</file>

<file path=xl/worksheets/_rels/sheet6.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vmlDrawing" Target="../drawings/vmlDrawing5.vml"/><Relationship Id="rId3" Type="http://schemas.openxmlformats.org/officeDocument/2006/relationships/comments" Target="../comments5.xml"/></Relationships>

</file>

<file path=xl/worksheets/_rels/sheet7.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vmlDrawing" Target="../drawings/vmlDrawing6.vml"/><Relationship Id="rId3" Type="http://schemas.openxmlformats.org/officeDocument/2006/relationships/comments" Target="../comments6.xml"/></Relationships>

</file>

<file path=xl/worksheets/_rels/sheet8.xml.rels><?xml version="1.0" encoding="UTF-8"?>
<Relationships xmlns="http://schemas.openxmlformats.org/package/2006/relationships"><Relationship Id="rId1" Type="http://schemas.openxmlformats.org/officeDocument/2006/relationships/drawing" Target="../drawings/drawing7.xml"/><Relationship Id="rId2" Type="http://schemas.openxmlformats.org/officeDocument/2006/relationships/vmlDrawing" Target="../drawings/vmlDrawing7.vml"/><Relationship Id="rId3" Type="http://schemas.openxmlformats.org/officeDocument/2006/relationships/comments" Target="../comments7.xml"/></Relationships>

</file>

<file path=xl/worksheets/_rels/sheet9.xml.rels><?xml version="1.0" encoding="UTF-8"?>
<Relationships xmlns="http://schemas.openxmlformats.org/package/2006/relationships"><Relationship Id="rId1" Type="http://schemas.openxmlformats.org/officeDocument/2006/relationships/drawing" Target="../drawings/drawing8.xml"/><Relationship Id="rId2" Type="http://schemas.openxmlformats.org/officeDocument/2006/relationships/vmlDrawing" Target="../drawings/vmlDrawing8.vml"/><Relationship Id="rId3" Type="http://schemas.openxmlformats.org/officeDocument/2006/relationships/comments" Target="../comments8.xml"/></Relationships>

</file>

<file path=xl/worksheets/_rels/sheet10.xml.rels><?xml version="1.0" encoding="UTF-8"?>
<Relationships xmlns="http://schemas.openxmlformats.org/package/2006/relationships"><Relationship Id="rId1" Type="http://schemas.openxmlformats.org/officeDocument/2006/relationships/drawing" Target="../drawings/drawing9.xml"/><Relationship Id="rId2" Type="http://schemas.openxmlformats.org/officeDocument/2006/relationships/vmlDrawing" Target="../drawings/vmlDrawing9.vml"/><Relationship Id="rId3" Type="http://schemas.openxmlformats.org/officeDocument/2006/relationships/comments" Target="../comments9.xml"/></Relationships>

</file>

<file path=xl/worksheets/_rels/sheet11.xml.rels><?xml version="1.0" encoding="UTF-8"?>
<Relationships xmlns="http://schemas.openxmlformats.org/package/2006/relationships"><Relationship Id="rId1" Type="http://schemas.openxmlformats.org/officeDocument/2006/relationships/drawing" Target="../drawings/drawing10.xml"/><Relationship Id="rId2" Type="http://schemas.openxmlformats.org/officeDocument/2006/relationships/vmlDrawing" Target="../drawings/vmlDrawing10.vml"/><Relationship Id="rId3" Type="http://schemas.openxmlformats.org/officeDocument/2006/relationships/comments" Target="../comments10.xml"/></Relationships>

</file>

<file path=xl/worksheets/_rels/sheet12.xml.rels><?xml version="1.0" encoding="UTF-8"?>
<Relationships xmlns="http://schemas.openxmlformats.org/package/2006/relationships"><Relationship Id="rId1" Type="http://schemas.openxmlformats.org/officeDocument/2006/relationships/drawing" Target="../drawings/drawing11.xml"/><Relationship Id="rId2" Type="http://schemas.openxmlformats.org/officeDocument/2006/relationships/vmlDrawing" Target="../drawings/vmlDrawing11.vml"/><Relationship Id="rId3" Type="http://schemas.openxmlformats.org/officeDocument/2006/relationships/comments" Target="../comments11.xml"/></Relationships>

</file>

<file path=xl/worksheets/_rels/sheet13.xml.rels><?xml version="1.0" encoding="UTF-8"?>
<Relationships xmlns="http://schemas.openxmlformats.org/package/2006/relationships"><Relationship Id="rId1" Type="http://schemas.openxmlformats.org/officeDocument/2006/relationships/drawing" Target="../drawings/drawing12.xml"/><Relationship Id="rId2" Type="http://schemas.openxmlformats.org/officeDocument/2006/relationships/vmlDrawing" Target="../drawings/vmlDrawing12.vml"/><Relationship Id="rId3" Type="http://schemas.openxmlformats.org/officeDocument/2006/relationships/comments" Target="../comments1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105</v>
      </c>
      <c r="C11" s="3"/>
      <c r="D11" s="3"/>
    </row>
    <row r="12">
      <c r="B12" s="4"/>
      <c r="C12" t="s" s="4">
        <v>5</v>
      </c>
      <c r="D12" t="s" s="5">
        <v>105</v>
      </c>
    </row>
    <row r="13">
      <c r="B13" t="s" s="3">
        <v>117</v>
      </c>
      <c r="C13" s="3"/>
      <c r="D13" s="3"/>
    </row>
    <row r="14">
      <c r="B14" s="4"/>
      <c r="C14" t="s" s="4">
        <v>5</v>
      </c>
      <c r="D14" t="s" s="5">
        <v>117</v>
      </c>
    </row>
    <row r="15">
      <c r="B15" t="s" s="3">
        <v>129</v>
      </c>
      <c r="C15" s="3"/>
      <c r="D15" s="3"/>
    </row>
    <row r="16">
      <c r="B16" s="4"/>
      <c r="C16" t="s" s="4">
        <v>5</v>
      </c>
      <c r="D16" t="s" s="5">
        <v>129</v>
      </c>
    </row>
    <row r="17">
      <c r="B17" t="s" s="3">
        <v>133</v>
      </c>
      <c r="C17" s="3"/>
      <c r="D17" s="3"/>
    </row>
    <row r="18">
      <c r="B18" s="4"/>
      <c r="C18" t="s" s="4">
        <v>5</v>
      </c>
      <c r="D18" t="s" s="5">
        <v>133</v>
      </c>
    </row>
    <row r="19">
      <c r="B19" t="s" s="3">
        <v>139</v>
      </c>
      <c r="C19" s="3"/>
      <c r="D19" s="3"/>
    </row>
    <row r="20">
      <c r="B20" s="4"/>
      <c r="C20" t="s" s="4">
        <v>5</v>
      </c>
      <c r="D20" t="s" s="5">
        <v>139</v>
      </c>
    </row>
    <row r="21">
      <c r="B21" t="s" s="3">
        <v>144</v>
      </c>
      <c r="C21" s="3"/>
      <c r="D21" s="3"/>
    </row>
    <row r="22">
      <c r="B22" s="4"/>
      <c r="C22" t="s" s="4">
        <v>5</v>
      </c>
      <c r="D22" t="s" s="5">
        <v>144</v>
      </c>
    </row>
    <row r="23">
      <c r="B23" t="s" s="3">
        <v>150</v>
      </c>
      <c r="C23" s="3"/>
      <c r="D23" s="3"/>
    </row>
    <row r="24">
      <c r="B24" s="4"/>
      <c r="C24" t="s" s="4">
        <v>5</v>
      </c>
      <c r="D24" t="s" s="5">
        <v>150</v>
      </c>
    </row>
    <row r="25">
      <c r="B25" t="s" s="3">
        <v>156</v>
      </c>
      <c r="C25" s="3"/>
      <c r="D25" s="3"/>
    </row>
    <row r="26">
      <c r="B26" s="4"/>
      <c r="C26" t="s" s="4">
        <v>5</v>
      </c>
      <c r="D26" t="s" s="5">
        <v>156</v>
      </c>
    </row>
    <row r="27">
      <c r="B27" t="s" s="3">
        <v>168</v>
      </c>
      <c r="C27" s="3"/>
      <c r="D27" s="3"/>
    </row>
    <row r="28">
      <c r="B28" s="4"/>
      <c r="C28" t="s" s="4">
        <v>5</v>
      </c>
      <c r="D28" t="s" s="5">
        <v>168</v>
      </c>
    </row>
    <row r="29">
      <c r="B29" t="s" s="3">
        <v>172</v>
      </c>
      <c r="C29" s="3"/>
      <c r="D29" s="3"/>
    </row>
    <row r="30">
      <c r="B30" s="4"/>
      <c r="C30" t="s" s="4">
        <v>5</v>
      </c>
      <c r="D30" t="s" s="5">
        <v>172</v>
      </c>
    </row>
    <row r="31">
      <c r="B31" t="s" s="3">
        <v>176</v>
      </c>
      <c r="C31" s="3"/>
      <c r="D31" s="3"/>
    </row>
    <row r="32">
      <c r="B32" s="4"/>
      <c r="C32" t="s" s="4">
        <v>5</v>
      </c>
      <c r="D32" t="s" s="5">
        <v>176</v>
      </c>
    </row>
  </sheetData>
  <mergeCells count="1">
    <mergeCell ref="B3:D3"/>
  </mergeCells>
  <hyperlinks>
    <hyperlink ref="D10" location="'8시간(8hx6)_1월'!R1C1" tooltip="" display="8시간(8hx6)_1월"/>
    <hyperlink ref="D12" location="'8시간(8hx6)_2월'!R1C1" tooltip="" display="8시간(8hx6)_2월"/>
    <hyperlink ref="D14" location="'8시간(8hx6)_3월'!R1C1" tooltip="" display="8시간(8hx6)_3월"/>
    <hyperlink ref="D16" location="'8시간(8hx6)_4월'!R1C1" tooltip="" display="8시간(8hx6)_4월"/>
    <hyperlink ref="D18" location="'8시간(8hx6)_5월'!R1C1" tooltip="" display="8시간(8hx6)_5월"/>
    <hyperlink ref="D20" location="'8시간(8hx6)_6월'!R1C1" tooltip="" display="8시간(8hx6)_6월"/>
    <hyperlink ref="D22" location="'8시간(8hx6)_7월'!R1C1" tooltip="" display="8시간(8hx6)_7월"/>
    <hyperlink ref="D24" location="'8시간(8hx6)_8월'!R1C1" tooltip="" display="8시간(8hx6)_8월"/>
    <hyperlink ref="D26" location="'8시간(8hx6)_9월'!R1C1" tooltip="" display="8시간(8hx6)_9월"/>
    <hyperlink ref="D28" location="'8시간(8hx6)_10월'!R1C1" tooltip="" display="8시간(8hx6)_10월"/>
    <hyperlink ref="D30" location="'8시간(8hx6)_11월'!R1C1" tooltip="" display="8시간(8hx6)_11월"/>
    <hyperlink ref="D32" location="'8시간(8hx6)_12월'!R1C1" tooltip="" display="8시간(8hx6)_12월"/>
  </hyperlinks>
</worksheet>
</file>

<file path=xl/worksheets/sheet2.xml><?xml version="1.0" encoding="utf-8"?>
<worksheet xmlns:r="http://schemas.openxmlformats.org/officeDocument/2006/relationships" xmlns="http://schemas.openxmlformats.org/spreadsheetml/2006/main">
  <dimension ref="A1:S52"/>
  <sheetViews>
    <sheetView workbookViewId="0" showGridLines="0" defaultGridColor="1"/>
  </sheetViews>
  <sheetFormatPr defaultColWidth="8.83333" defaultRowHeight="16.5" customHeight="1" outlineLevelRow="0" outlineLevelCol="0"/>
  <cols>
    <col min="1" max="1" width="10.3516" style="6" customWidth="1"/>
    <col min="2" max="2" width="12.5" style="6" customWidth="1"/>
    <col min="3" max="3" width="12.3516" style="6" customWidth="1"/>
    <col min="4" max="4" width="11.8516" style="6" customWidth="1"/>
    <col min="5" max="5" width="12.3516" style="6" customWidth="1"/>
    <col min="6" max="6" width="11" style="6" customWidth="1"/>
    <col min="7" max="7" width="15.6719" style="6" customWidth="1"/>
    <col min="8" max="8" width="9" style="6" customWidth="1"/>
    <col min="9" max="9" width="12.3516" style="6" customWidth="1"/>
    <col min="10" max="10" width="11.8516" style="6" customWidth="1"/>
    <col min="11" max="11" width="5.5" style="6" customWidth="1"/>
    <col min="12" max="16" width="11.6719" style="6" customWidth="1"/>
    <col min="17" max="17" width="14.3516" style="6" customWidth="1"/>
    <col min="18" max="18" width="10" style="6" customWidth="1"/>
    <col min="19" max="19" width="13" style="6" customWidth="1"/>
    <col min="20" max="16384" width="8.85156" style="6" customWidth="1"/>
  </cols>
  <sheetData>
    <row r="1" ht="14.25" customHeight="1">
      <c r="A1" t="s" s="7">
        <v>6</v>
      </c>
      <c r="B1" s="8"/>
      <c r="C1" s="8"/>
      <c r="D1" s="8"/>
      <c r="E1" s="8"/>
      <c r="F1" s="9"/>
      <c r="G1" s="9"/>
      <c r="H1" s="9"/>
      <c r="I1" s="9"/>
      <c r="J1" s="9"/>
      <c r="K1" s="10"/>
      <c r="L1" t="s" s="11">
        <v>7</v>
      </c>
      <c r="M1" s="12"/>
      <c r="N1" s="12"/>
      <c r="O1" s="12"/>
      <c r="P1" s="12"/>
      <c r="Q1" s="12"/>
      <c r="R1" s="10"/>
      <c r="S1" s="13"/>
    </row>
    <row r="2" ht="27" customHeight="1">
      <c r="A2" t="s" s="14">
        <v>8</v>
      </c>
      <c r="B2" s="15"/>
      <c r="C2" s="15"/>
      <c r="D2" s="15"/>
      <c r="E2" s="15"/>
      <c r="F2" s="15"/>
      <c r="G2" s="15"/>
      <c r="H2" s="15"/>
      <c r="I2" s="15"/>
      <c r="J2" s="15"/>
      <c r="K2" s="10"/>
      <c r="L2" s="12"/>
      <c r="M2" s="12"/>
      <c r="N2" s="12"/>
      <c r="O2" s="12"/>
      <c r="P2" s="12"/>
      <c r="Q2" s="12"/>
      <c r="R2" s="10"/>
      <c r="S2" s="13"/>
    </row>
    <row r="3" ht="8" customHeight="1">
      <c r="A3" s="16"/>
      <c r="B3" s="16"/>
      <c r="C3" s="16"/>
      <c r="D3" s="16"/>
      <c r="E3" s="16"/>
      <c r="F3" s="16"/>
      <c r="G3" s="16"/>
      <c r="H3" s="16"/>
      <c r="I3" s="16"/>
      <c r="J3" s="16"/>
      <c r="K3" s="17"/>
      <c r="L3" t="s" s="18">
        <v>9</v>
      </c>
      <c r="M3" s="19"/>
      <c r="N3" s="19"/>
      <c r="O3" s="19"/>
      <c r="P3" s="19"/>
      <c r="Q3" s="10"/>
      <c r="R3" s="10"/>
      <c r="S3" s="13"/>
    </row>
    <row r="4" ht="17.25" customHeight="1">
      <c r="A4" t="s" s="20">
        <v>10</v>
      </c>
      <c r="B4" s="21"/>
      <c r="C4" t="s" s="22">
        <v>11</v>
      </c>
      <c r="D4" s="23"/>
      <c r="E4" t="s" s="24">
        <v>12</v>
      </c>
      <c r="F4" t="s" s="22">
        <v>13</v>
      </c>
      <c r="G4" s="25"/>
      <c r="H4" s="25"/>
      <c r="I4" s="25"/>
      <c r="J4" s="26"/>
      <c r="K4" s="27"/>
      <c r="L4" s="19"/>
      <c r="M4" s="19"/>
      <c r="N4" s="19"/>
      <c r="O4" s="19"/>
      <c r="P4" s="19"/>
      <c r="Q4" s="10"/>
      <c r="R4" s="10"/>
      <c r="S4" s="13"/>
    </row>
    <row r="5" ht="15" customHeight="1">
      <c r="A5" t="s" s="28">
        <v>14</v>
      </c>
      <c r="B5" s="29"/>
      <c r="C5" s="30"/>
      <c r="D5" s="30"/>
      <c r="E5" s="29"/>
      <c r="F5" s="30"/>
      <c r="G5" s="30"/>
      <c r="H5" s="30"/>
      <c r="I5" s="30"/>
      <c r="J5" s="31"/>
      <c r="K5" s="27"/>
      <c r="L5" t="s" s="32">
        <v>9</v>
      </c>
      <c r="M5" s="33"/>
      <c r="N5" s="34"/>
      <c r="O5" s="33"/>
      <c r="P5" s="33"/>
      <c r="Q5" s="35"/>
      <c r="R5" s="10"/>
      <c r="S5" s="13"/>
    </row>
    <row r="6" ht="21.75" customHeight="1">
      <c r="A6" t="s" s="36">
        <v>15</v>
      </c>
      <c r="B6" t="s" s="37">
        <v>16</v>
      </c>
      <c r="C6" s="38"/>
      <c r="D6" s="38"/>
      <c r="E6" s="39"/>
      <c r="F6" t="s" s="40">
        <v>17</v>
      </c>
      <c r="G6" s="41"/>
      <c r="H6" t="s" s="37">
        <v>18</v>
      </c>
      <c r="I6" s="38"/>
      <c r="J6" s="42"/>
      <c r="K6" s="43"/>
      <c r="L6" t="s" s="44">
        <v>19</v>
      </c>
      <c r="M6" s="45"/>
      <c r="N6" t="s" s="46">
        <v>20</v>
      </c>
      <c r="O6" s="47">
        <v>8</v>
      </c>
      <c r="P6" t="s" s="46">
        <v>21</v>
      </c>
      <c r="Q6" s="48">
        <v>6</v>
      </c>
      <c r="R6" s="49"/>
      <c r="S6" s="13"/>
    </row>
    <row r="7" ht="21.75" customHeight="1">
      <c r="A7" t="s" s="50">
        <v>22</v>
      </c>
      <c r="B7" s="51"/>
      <c r="C7" s="51"/>
      <c r="D7" s="51"/>
      <c r="E7" s="51"/>
      <c r="F7" t="s" s="52">
        <v>23</v>
      </c>
      <c r="G7" s="53"/>
      <c r="H7" s="51"/>
      <c r="I7" s="51"/>
      <c r="J7" s="54"/>
      <c r="K7" s="49"/>
      <c r="L7" s="55"/>
      <c r="M7" s="55"/>
      <c r="N7" s="55"/>
      <c r="O7" s="55"/>
      <c r="P7" s="55"/>
      <c r="Q7" s="56"/>
      <c r="R7" s="10"/>
      <c r="S7" s="13"/>
    </row>
    <row r="8" ht="18" customHeight="1">
      <c r="A8" t="s" s="57">
        <v>24</v>
      </c>
      <c r="B8" t="s" s="58">
        <v>25</v>
      </c>
      <c r="C8" s="59"/>
      <c r="D8" t="s" s="60">
        <v>26</v>
      </c>
      <c r="E8" s="59"/>
      <c r="F8" t="s" s="61">
        <v>27</v>
      </c>
      <c r="G8" t="s" s="62">
        <v>28</v>
      </c>
      <c r="H8" s="63"/>
      <c r="I8" s="63"/>
      <c r="J8" s="64"/>
      <c r="K8" s="49"/>
      <c r="L8" s="34"/>
      <c r="M8" s="34"/>
      <c r="N8" s="34"/>
      <c r="O8" s="34"/>
      <c r="P8" s="34"/>
      <c r="Q8" s="35"/>
      <c r="R8" s="10"/>
      <c r="S8" s="13"/>
    </row>
    <row r="9" ht="12" customHeight="1">
      <c r="A9" s="65"/>
      <c r="B9" t="s" s="66">
        <v>29</v>
      </c>
      <c r="C9" s="67"/>
      <c r="D9" s="67"/>
      <c r="E9" s="67"/>
      <c r="F9" s="68"/>
      <c r="G9" s="68"/>
      <c r="H9" s="68"/>
      <c r="I9" s="68"/>
      <c r="J9" s="69"/>
      <c r="K9" s="43"/>
      <c r="L9" t="s" s="70">
        <v>30</v>
      </c>
      <c r="M9" t="s" s="71">
        <v>31</v>
      </c>
      <c r="N9" t="s" s="71">
        <v>32</v>
      </c>
      <c r="O9" t="s" s="71">
        <v>33</v>
      </c>
      <c r="P9" t="s" s="71">
        <v>34</v>
      </c>
      <c r="Q9" t="s" s="72">
        <v>35</v>
      </c>
      <c r="R9" s="49"/>
      <c r="S9" s="13"/>
    </row>
    <row r="10" ht="30" customHeight="1">
      <c r="A10" s="73"/>
      <c r="B10" s="74"/>
      <c r="C10" s="75"/>
      <c r="D10" s="75"/>
      <c r="E10" s="75"/>
      <c r="F10" s="75"/>
      <c r="G10" s="75"/>
      <c r="H10" s="75"/>
      <c r="I10" s="75"/>
      <c r="J10" s="76"/>
      <c r="K10" t="s" s="77">
        <v>9</v>
      </c>
      <c r="L10" t="s" s="78">
        <v>36</v>
      </c>
      <c r="M10" s="79">
        <v>48</v>
      </c>
      <c r="N10" s="80">
        <v>1</v>
      </c>
      <c r="O10" s="81">
        <v>4.34</v>
      </c>
      <c r="P10" s="82">
        <f>M10*O10</f>
        <v>208.32</v>
      </c>
      <c r="Q10" s="83">
        <f>P10/P15</f>
        <v>0.700602668962548</v>
      </c>
      <c r="R10" s="49"/>
      <c r="S10" s="13"/>
    </row>
    <row r="11" ht="19.5" customHeight="1">
      <c r="A11" t="s" s="57">
        <v>37</v>
      </c>
      <c r="B11" t="s" s="84">
        <v>38</v>
      </c>
      <c r="C11" s="85"/>
      <c r="D11" s="86"/>
      <c r="E11" s="87">
        <f>D24</f>
        <v>175150.667240637</v>
      </c>
      <c r="F11" t="s" s="88">
        <v>39</v>
      </c>
      <c r="G11" s="89">
        <f>E11/8</f>
        <v>21893.8334050796</v>
      </c>
      <c r="H11" t="s" s="90">
        <v>40</v>
      </c>
      <c r="I11" s="91"/>
      <c r="J11" s="92"/>
      <c r="K11" s="43"/>
      <c r="L11" t="s" s="78">
        <v>41</v>
      </c>
      <c r="M11" s="79">
        <v>9.6</v>
      </c>
      <c r="N11" s="80">
        <v>1</v>
      </c>
      <c r="O11" s="81">
        <v>4.34</v>
      </c>
      <c r="P11" s="82">
        <f>M11*O11</f>
        <v>41.664</v>
      </c>
      <c r="Q11" s="83">
        <f>P11/P15</f>
        <v>0.14012053379251</v>
      </c>
      <c r="R11" s="49"/>
      <c r="S11" s="13"/>
    </row>
    <row r="12" ht="17.25" customHeight="1">
      <c r="A12" s="65"/>
      <c r="B12" t="s" s="93">
        <v>42</v>
      </c>
      <c r="C12" s="94"/>
      <c r="D12" s="94"/>
      <c r="E12" s="95"/>
      <c r="F12" s="94"/>
      <c r="G12" s="95"/>
      <c r="H12" s="94"/>
      <c r="I12" s="94"/>
      <c r="J12" s="96"/>
      <c r="K12" s="43"/>
      <c r="L12" t="s" s="78">
        <v>43</v>
      </c>
      <c r="M12" s="79">
        <v>12</v>
      </c>
      <c r="N12" s="80">
        <v>1</v>
      </c>
      <c r="O12" s="97">
        <v>1</v>
      </c>
      <c r="P12" s="82">
        <f>M12*N12*O12</f>
        <v>12</v>
      </c>
      <c r="Q12" s="83">
        <f>P12/P15</f>
        <v>0.0403572965992251</v>
      </c>
      <c r="R12" s="98"/>
      <c r="S12" s="99"/>
    </row>
    <row r="13" ht="17.25" customHeight="1">
      <c r="A13" s="65"/>
      <c r="B13" s="100"/>
      <c r="C13" s="94"/>
      <c r="D13" s="94"/>
      <c r="E13" s="94"/>
      <c r="F13" s="94"/>
      <c r="G13" s="94"/>
      <c r="H13" s="94"/>
      <c r="I13" s="94"/>
      <c r="J13" s="96"/>
      <c r="K13" s="43"/>
      <c r="L13" t="s" s="78">
        <v>44</v>
      </c>
      <c r="M13" s="79">
        <v>8</v>
      </c>
      <c r="N13" s="80">
        <v>0.5</v>
      </c>
      <c r="O13" s="81">
        <v>4.34</v>
      </c>
      <c r="P13" s="82">
        <f>M13*N13*O13</f>
        <v>17.36</v>
      </c>
      <c r="Q13" s="101">
        <f>P13/P15</f>
        <v>0.058383555746879</v>
      </c>
      <c r="R13" s="49"/>
      <c r="S13" s="13"/>
    </row>
    <row r="14" ht="17.25" customHeight="1">
      <c r="A14" s="65"/>
      <c r="B14" s="100"/>
      <c r="C14" s="94"/>
      <c r="D14" s="94"/>
      <c r="E14" s="94"/>
      <c r="F14" s="94"/>
      <c r="G14" s="94"/>
      <c r="H14" s="94"/>
      <c r="I14" s="94"/>
      <c r="J14" s="96"/>
      <c r="K14" s="43"/>
      <c r="L14" t="s" s="78">
        <v>45</v>
      </c>
      <c r="M14" s="81">
        <v>0</v>
      </c>
      <c r="N14" s="80"/>
      <c r="O14" s="81">
        <v>0</v>
      </c>
      <c r="P14" s="82">
        <v>18</v>
      </c>
      <c r="Q14" s="101">
        <f>P14/P15</f>
        <v>0.0605359448988377</v>
      </c>
      <c r="R14" s="49"/>
      <c r="S14" s="13"/>
    </row>
    <row r="15" ht="13.5" customHeight="1">
      <c r="A15" s="65"/>
      <c r="B15" t="s" s="102">
        <v>46</v>
      </c>
      <c r="C15" s="68"/>
      <c r="D15" s="68"/>
      <c r="E15" s="68"/>
      <c r="F15" s="68"/>
      <c r="G15" s="68"/>
      <c r="H15" s="68"/>
      <c r="I15" s="68"/>
      <c r="J15" s="69"/>
      <c r="K15" s="43"/>
      <c r="L15" t="s" s="103">
        <v>47</v>
      </c>
      <c r="M15" s="104"/>
      <c r="N15" s="104"/>
      <c r="O15" s="105">
        <v>0</v>
      </c>
      <c r="P15" s="106">
        <f>SUM(P10:P14)</f>
        <v>297.344</v>
      </c>
      <c r="Q15" s="107">
        <f>SUM(Q10:Q14)</f>
        <v>1</v>
      </c>
      <c r="R15" s="49"/>
      <c r="S15" s="13"/>
    </row>
    <row r="16" ht="13.5" customHeight="1">
      <c r="A16" s="65"/>
      <c r="B16" s="108"/>
      <c r="C16" s="68"/>
      <c r="D16" s="68"/>
      <c r="E16" s="68"/>
      <c r="F16" s="68"/>
      <c r="G16" s="68"/>
      <c r="H16" s="68"/>
      <c r="I16" s="68"/>
      <c r="J16" s="69"/>
      <c r="K16" s="49"/>
      <c r="L16" s="56"/>
      <c r="M16" s="56"/>
      <c r="N16" s="56"/>
      <c r="O16" s="56"/>
      <c r="P16" s="56"/>
      <c r="Q16" s="56"/>
      <c r="R16" s="10"/>
      <c r="S16" s="13"/>
    </row>
    <row r="17" ht="21" customHeight="1">
      <c r="A17" s="65"/>
      <c r="B17" t="s" s="102">
        <v>48</v>
      </c>
      <c r="C17" s="68"/>
      <c r="D17" s="68"/>
      <c r="E17" s="68"/>
      <c r="F17" s="68"/>
      <c r="G17" s="109"/>
      <c r="H17" s="109"/>
      <c r="I17" s="109"/>
      <c r="J17" s="110"/>
      <c r="K17" s="49"/>
      <c r="L17" s="111"/>
      <c r="M17" s="112"/>
      <c r="N17" t="s" s="113">
        <v>49</v>
      </c>
      <c r="O17" s="114"/>
      <c r="P17" s="114"/>
      <c r="Q17" s="115">
        <v>9620</v>
      </c>
      <c r="R17" s="10"/>
      <c r="S17" s="13"/>
    </row>
    <row r="18" ht="15.75" customHeight="1">
      <c r="A18" s="65"/>
      <c r="B18" t="s" s="116">
        <v>50</v>
      </c>
      <c r="C18" s="117"/>
      <c r="D18" s="117"/>
      <c r="E18" s="117"/>
      <c r="F18" s="118"/>
      <c r="G18" s="119">
        <v>250000</v>
      </c>
      <c r="H18" t="s" s="120">
        <v>51</v>
      </c>
      <c r="I18" s="121"/>
      <c r="J18" s="122"/>
      <c r="K18" s="49"/>
      <c r="L18" s="111"/>
      <c r="M18" s="112"/>
      <c r="N18" s="10"/>
      <c r="O18" s="10"/>
      <c r="P18" s="123"/>
      <c r="Q18" s="10"/>
      <c r="R18" s="10"/>
      <c r="S18" s="13"/>
    </row>
    <row r="19" ht="15.75" customHeight="1">
      <c r="A19" s="65"/>
      <c r="B19" t="s" s="124">
        <v>52</v>
      </c>
      <c r="C19" s="125"/>
      <c r="D19" s="125"/>
      <c r="E19" s="125"/>
      <c r="F19" s="125"/>
      <c r="G19" s="126"/>
      <c r="H19" s="126"/>
      <c r="I19" s="126"/>
      <c r="J19" s="127"/>
      <c r="K19" s="49"/>
      <c r="L19" t="s" s="128">
        <v>53</v>
      </c>
      <c r="M19" s="129"/>
      <c r="N19" s="129"/>
      <c r="O19" s="129"/>
      <c r="P19" s="129"/>
      <c r="Q19" s="130"/>
      <c r="R19" s="10"/>
      <c r="S19" s="13"/>
    </row>
    <row r="20" ht="15.75" customHeight="1">
      <c r="A20" s="65"/>
      <c r="B20" t="s" s="124">
        <v>54</v>
      </c>
      <c r="C20" s="125"/>
      <c r="D20" s="125"/>
      <c r="E20" s="125"/>
      <c r="F20" s="125"/>
      <c r="G20" s="125"/>
      <c r="H20" s="125"/>
      <c r="I20" s="125"/>
      <c r="J20" s="131"/>
      <c r="K20" s="49"/>
      <c r="L20" t="s" s="128">
        <v>55</v>
      </c>
      <c r="M20" s="129"/>
      <c r="N20" s="129"/>
      <c r="O20" s="129"/>
      <c r="P20" s="129"/>
      <c r="Q20" s="130"/>
      <c r="R20" s="10"/>
      <c r="S20" s="13"/>
    </row>
    <row r="21" ht="15.75" customHeight="1">
      <c r="A21" s="73"/>
      <c r="B21" t="s" s="132">
        <v>56</v>
      </c>
      <c r="C21" s="133"/>
      <c r="D21" s="133"/>
      <c r="E21" s="133"/>
      <c r="F21" s="133"/>
      <c r="G21" s="133"/>
      <c r="H21" s="133"/>
      <c r="I21" s="133"/>
      <c r="J21" s="134"/>
      <c r="K21" s="49"/>
      <c r="L21" t="s" s="128">
        <v>57</v>
      </c>
      <c r="M21" s="129"/>
      <c r="N21" s="129"/>
      <c r="O21" s="129"/>
      <c r="P21" s="129"/>
      <c r="Q21" s="130"/>
      <c r="R21" s="10"/>
      <c r="S21" s="13"/>
    </row>
    <row r="22" ht="18.75" customHeight="1">
      <c r="A22" t="s" s="135">
        <v>58</v>
      </c>
      <c r="B22" t="s" s="136">
        <v>59</v>
      </c>
      <c r="C22" s="137"/>
      <c r="D22" t="s" s="138">
        <v>36</v>
      </c>
      <c r="E22" t="s" s="138">
        <v>60</v>
      </c>
      <c r="F22" t="s" s="138">
        <v>43</v>
      </c>
      <c r="G22" t="s" s="139">
        <v>61</v>
      </c>
      <c r="H22" s="140"/>
      <c r="I22" t="s" s="139">
        <v>45</v>
      </c>
      <c r="J22" s="141"/>
      <c r="K22" s="49"/>
      <c r="L22" t="s" s="128">
        <v>62</v>
      </c>
      <c r="M22" s="129"/>
      <c r="N22" s="129"/>
      <c r="O22" s="129"/>
      <c r="P22" s="129"/>
      <c r="Q22" s="130"/>
      <c r="R22" s="129"/>
      <c r="S22" s="142"/>
    </row>
    <row r="23" ht="18.75" customHeight="1">
      <c r="A23" s="143"/>
      <c r="B23" t="s" s="144">
        <v>63</v>
      </c>
      <c r="C23" s="145"/>
      <c r="D23" s="146">
        <f>Q10</f>
        <v>0.700602668962548</v>
      </c>
      <c r="E23" s="146">
        <f>Q11</f>
        <v>0.14012053379251</v>
      </c>
      <c r="F23" s="146">
        <f>Q12</f>
        <v>0.0403572965992251</v>
      </c>
      <c r="G23" s="147">
        <f>Q13</f>
        <v>0.058383555746879</v>
      </c>
      <c r="H23" s="148"/>
      <c r="I23" s="147">
        <f>Q14</f>
        <v>0.0605359448988377</v>
      </c>
      <c r="J23" s="149"/>
      <c r="K23" s="49"/>
      <c r="L23" s="129"/>
      <c r="M23" s="129"/>
      <c r="N23" s="129"/>
      <c r="O23" s="129"/>
      <c r="P23" s="129"/>
      <c r="Q23" s="129"/>
      <c r="R23" s="129"/>
      <c r="S23" s="142"/>
    </row>
    <row r="24" ht="18.75" customHeight="1">
      <c r="A24" s="150"/>
      <c r="B24" t="s" s="151">
        <v>64</v>
      </c>
      <c r="C24" s="152">
        <f>G11</f>
        <v>21893.8334050796</v>
      </c>
      <c r="D24" s="153">
        <f>G18*$D$23</f>
        <v>175150.667240637</v>
      </c>
      <c r="E24" s="153">
        <f>G18*$E$23</f>
        <v>35030.1334481275</v>
      </c>
      <c r="F24" s="153">
        <f>G18*$F$23</f>
        <v>10089.3241498063</v>
      </c>
      <c r="G24" s="154">
        <f>G18*$G$23</f>
        <v>14595.8889367198</v>
      </c>
      <c r="H24" s="155"/>
      <c r="I24" s="156">
        <f>G18*$I$23</f>
        <v>15133.9862247094</v>
      </c>
      <c r="J24" s="157"/>
      <c r="K24" s="49"/>
      <c r="L24" s="129"/>
      <c r="M24" s="129"/>
      <c r="N24" s="129"/>
      <c r="O24" s="129"/>
      <c r="P24" s="129"/>
      <c r="Q24" s="129"/>
      <c r="R24" s="129"/>
      <c r="S24" s="142"/>
    </row>
    <row r="25" ht="54.75" customHeight="1">
      <c r="A25" t="s" s="135">
        <v>65</v>
      </c>
      <c r="B25" t="s" s="158">
        <v>66</v>
      </c>
      <c r="C25" s="159"/>
      <c r="D25" s="159"/>
      <c r="E25" s="159"/>
      <c r="F25" s="159"/>
      <c r="G25" s="159"/>
      <c r="H25" s="159"/>
      <c r="I25" s="159"/>
      <c r="J25" s="160"/>
      <c r="K25" s="49"/>
      <c r="L25" t="s" s="128">
        <v>9</v>
      </c>
      <c r="M25" s="129"/>
      <c r="N25" s="129"/>
      <c r="O25" s="129"/>
      <c r="P25" s="129"/>
      <c r="Q25" s="130"/>
      <c r="R25" s="10"/>
      <c r="S25" s="142"/>
    </row>
    <row r="26" ht="66.75" customHeight="1">
      <c r="A26" s="73"/>
      <c r="B26" s="74"/>
      <c r="C26" s="75"/>
      <c r="D26" s="75"/>
      <c r="E26" s="75"/>
      <c r="F26" s="75"/>
      <c r="G26" s="75"/>
      <c r="H26" s="75"/>
      <c r="I26" s="75"/>
      <c r="J26" s="76"/>
      <c r="K26" s="49"/>
      <c r="L26" t="s" s="128">
        <v>9</v>
      </c>
      <c r="M26" s="129"/>
      <c r="N26" s="129"/>
      <c r="O26" s="129"/>
      <c r="P26" s="129"/>
      <c r="Q26" s="130"/>
      <c r="R26" s="10"/>
      <c r="S26" s="142"/>
    </row>
    <row r="27" ht="27.75" customHeight="1">
      <c r="A27" t="s" s="57">
        <v>67</v>
      </c>
      <c r="B27" t="s" s="158">
        <v>68</v>
      </c>
      <c r="C27" s="159"/>
      <c r="D27" s="159"/>
      <c r="E27" s="159"/>
      <c r="F27" s="159"/>
      <c r="G27" s="159"/>
      <c r="H27" s="159"/>
      <c r="I27" s="159"/>
      <c r="J27" s="160"/>
      <c r="K27" s="49"/>
      <c r="L27" s="161">
        <f>C24*8</f>
        <v>175150.667240637</v>
      </c>
      <c r="M27" s="162">
        <f>E24*5</f>
        <v>175150.667240638</v>
      </c>
      <c r="N27" s="129"/>
      <c r="O27" s="162"/>
      <c r="P27" s="163"/>
      <c r="Q27" s="162"/>
      <c r="R27" s="164"/>
      <c r="S27" s="165"/>
    </row>
    <row r="28" ht="27.75" customHeight="1">
      <c r="A28" s="73"/>
      <c r="B28" s="74"/>
      <c r="C28" s="75"/>
      <c r="D28" s="75"/>
      <c r="E28" s="75"/>
      <c r="F28" s="75"/>
      <c r="G28" s="75"/>
      <c r="H28" s="75"/>
      <c r="I28" s="75"/>
      <c r="J28" s="76"/>
      <c r="K28" s="49"/>
      <c r="L28" s="161"/>
      <c r="M28" s="163"/>
      <c r="N28" s="10"/>
      <c r="O28" s="10"/>
      <c r="P28" s="10"/>
      <c r="Q28" s="10"/>
      <c r="R28" s="164"/>
      <c r="S28" s="165"/>
    </row>
    <row r="29" ht="40.5" customHeight="1">
      <c r="A29" t="s" s="166">
        <v>69</v>
      </c>
      <c r="B29" t="s" s="167">
        <v>70</v>
      </c>
      <c r="C29" s="168"/>
      <c r="D29" s="168"/>
      <c r="E29" s="168"/>
      <c r="F29" s="168"/>
      <c r="G29" s="168"/>
      <c r="H29" s="168"/>
      <c r="I29" s="168"/>
      <c r="J29" s="169"/>
      <c r="K29" s="49"/>
      <c r="L29" t="s" s="170">
        <v>71</v>
      </c>
      <c r="M29" s="171"/>
      <c r="N29" s="171"/>
      <c r="O29" s="171"/>
      <c r="P29" s="171"/>
      <c r="Q29" s="171"/>
      <c r="R29" s="164"/>
      <c r="S29" s="165"/>
    </row>
    <row r="30" ht="23.25" customHeight="1">
      <c r="A30" t="s" s="135">
        <v>72</v>
      </c>
      <c r="B30" t="s" s="158">
        <v>73</v>
      </c>
      <c r="C30" s="159"/>
      <c r="D30" s="159"/>
      <c r="E30" s="159"/>
      <c r="F30" s="159"/>
      <c r="G30" s="159"/>
      <c r="H30" s="159"/>
      <c r="I30" s="159"/>
      <c r="J30" s="160"/>
      <c r="K30" s="49"/>
      <c r="L30" s="171"/>
      <c r="M30" s="171"/>
      <c r="N30" s="171"/>
      <c r="O30" s="171"/>
      <c r="P30" s="171"/>
      <c r="Q30" s="171"/>
      <c r="R30" s="164"/>
      <c r="S30" s="164"/>
    </row>
    <row r="31" ht="23.25" customHeight="1">
      <c r="A31" s="143"/>
      <c r="B31" s="108"/>
      <c r="C31" s="68"/>
      <c r="D31" s="68"/>
      <c r="E31" s="68"/>
      <c r="F31" s="68"/>
      <c r="G31" s="68"/>
      <c r="H31" s="68"/>
      <c r="I31" s="68"/>
      <c r="J31" s="69"/>
      <c r="K31" s="49"/>
      <c r="L31" s="171"/>
      <c r="M31" s="171"/>
      <c r="N31" s="171"/>
      <c r="O31" s="171"/>
      <c r="P31" s="171"/>
      <c r="Q31" s="171"/>
      <c r="R31" s="10"/>
      <c r="S31" s="142"/>
    </row>
    <row r="32" ht="23.25" customHeight="1">
      <c r="A32" s="143"/>
      <c r="B32" s="108"/>
      <c r="C32" s="68"/>
      <c r="D32" s="68"/>
      <c r="E32" s="68"/>
      <c r="F32" s="68"/>
      <c r="G32" s="68"/>
      <c r="H32" s="68"/>
      <c r="I32" s="68"/>
      <c r="J32" s="69"/>
      <c r="K32" s="49"/>
      <c r="L32" s="171"/>
      <c r="M32" s="171"/>
      <c r="N32" s="171"/>
      <c r="O32" s="171"/>
      <c r="P32" s="171"/>
      <c r="Q32" s="171"/>
      <c r="R32" s="10"/>
      <c r="S32" s="142"/>
    </row>
    <row r="33" ht="23.25" customHeight="1">
      <c r="A33" s="143"/>
      <c r="B33" s="108"/>
      <c r="C33" s="68"/>
      <c r="D33" s="68"/>
      <c r="E33" s="68"/>
      <c r="F33" s="68"/>
      <c r="G33" s="68"/>
      <c r="H33" s="68"/>
      <c r="I33" s="68"/>
      <c r="J33" s="69"/>
      <c r="K33" s="49"/>
      <c r="L33" s="172"/>
      <c r="M33" s="172"/>
      <c r="N33" s="172"/>
      <c r="O33" s="172"/>
      <c r="P33" s="172"/>
      <c r="Q33" s="10"/>
      <c r="R33" s="10"/>
      <c r="S33" s="142"/>
    </row>
    <row r="34" ht="23.25" customHeight="1">
      <c r="A34" s="143"/>
      <c r="B34" s="108"/>
      <c r="C34" s="68"/>
      <c r="D34" s="68"/>
      <c r="E34" s="68"/>
      <c r="F34" s="68"/>
      <c r="G34" s="68"/>
      <c r="H34" s="68"/>
      <c r="I34" s="68"/>
      <c r="J34" s="69"/>
      <c r="K34" s="173"/>
      <c r="L34" s="174"/>
      <c r="M34" s="174"/>
      <c r="N34" s="174"/>
      <c r="O34" s="174"/>
      <c r="P34" s="174"/>
      <c r="Q34" s="175"/>
      <c r="R34" s="10"/>
      <c r="S34" s="142"/>
    </row>
    <row r="35" ht="28.5" customHeight="1">
      <c r="A35" s="150"/>
      <c r="B35" s="74"/>
      <c r="C35" s="75"/>
      <c r="D35" s="75"/>
      <c r="E35" s="75"/>
      <c r="F35" s="75"/>
      <c r="G35" s="75"/>
      <c r="H35" s="75"/>
      <c r="I35" s="75"/>
      <c r="J35" s="76"/>
      <c r="K35" s="173"/>
      <c r="L35" s="176"/>
      <c r="M35" s="176"/>
      <c r="N35" s="176"/>
      <c r="O35" s="176"/>
      <c r="P35" s="176"/>
      <c r="Q35" s="177"/>
      <c r="R35" s="178"/>
      <c r="S35" s="142"/>
    </row>
    <row r="36" ht="21" customHeight="1">
      <c r="A36" t="s" s="135">
        <v>74</v>
      </c>
      <c r="B36" t="s" s="158">
        <v>75</v>
      </c>
      <c r="C36" s="159"/>
      <c r="D36" s="159"/>
      <c r="E36" s="159"/>
      <c r="F36" s="159"/>
      <c r="G36" s="159"/>
      <c r="H36" s="159"/>
      <c r="I36" s="159"/>
      <c r="J36" s="160"/>
      <c r="K36" s="173"/>
      <c r="L36" s="179"/>
      <c r="M36" s="179"/>
      <c r="N36" s="179"/>
      <c r="O36" s="179"/>
      <c r="P36" s="179"/>
      <c r="Q36" s="180"/>
      <c r="R36" s="181"/>
      <c r="S36" s="182"/>
    </row>
    <row r="37" ht="19.5" customHeight="1">
      <c r="A37" s="143"/>
      <c r="B37" s="108"/>
      <c r="C37" s="68"/>
      <c r="D37" s="68"/>
      <c r="E37" s="68"/>
      <c r="F37" s="68"/>
      <c r="G37" s="68"/>
      <c r="H37" s="68"/>
      <c r="I37" s="68"/>
      <c r="J37" s="69"/>
      <c r="K37" s="173"/>
      <c r="L37" s="183"/>
      <c r="M37" s="183"/>
      <c r="N37" s="183"/>
      <c r="O37" s="183"/>
      <c r="P37" s="183"/>
      <c r="Q37" s="184"/>
      <c r="R37" s="185"/>
      <c r="S37" s="182"/>
    </row>
    <row r="38" ht="19.5" customHeight="1">
      <c r="A38" s="143"/>
      <c r="B38" s="108"/>
      <c r="C38" s="68"/>
      <c r="D38" s="68"/>
      <c r="E38" s="68"/>
      <c r="F38" s="68"/>
      <c r="G38" s="68"/>
      <c r="H38" s="68"/>
      <c r="I38" s="68"/>
      <c r="J38" s="69"/>
      <c r="K38" s="173"/>
      <c r="L38" s="186"/>
      <c r="M38" s="186"/>
      <c r="N38" s="186"/>
      <c r="O38" s="186"/>
      <c r="P38" s="186"/>
      <c r="Q38" s="187"/>
      <c r="R38" s="188"/>
      <c r="S38" s="182"/>
    </row>
    <row r="39" ht="19.5" customHeight="1">
      <c r="A39" s="143"/>
      <c r="B39" s="108"/>
      <c r="C39" s="68"/>
      <c r="D39" s="68"/>
      <c r="E39" s="68"/>
      <c r="F39" s="68"/>
      <c r="G39" s="68"/>
      <c r="H39" s="68"/>
      <c r="I39" s="68"/>
      <c r="J39" s="69"/>
      <c r="K39" s="173"/>
      <c r="L39" s="186"/>
      <c r="M39" s="186"/>
      <c r="N39" s="186"/>
      <c r="O39" s="186"/>
      <c r="P39" s="186"/>
      <c r="Q39" s="187"/>
      <c r="R39" s="188"/>
      <c r="S39" s="182"/>
    </row>
    <row r="40" ht="19.5" customHeight="1">
      <c r="A40" s="150"/>
      <c r="B40" s="74"/>
      <c r="C40" s="75"/>
      <c r="D40" s="75"/>
      <c r="E40" s="75"/>
      <c r="F40" s="75"/>
      <c r="G40" s="75"/>
      <c r="H40" s="75"/>
      <c r="I40" s="75"/>
      <c r="J40" s="76"/>
      <c r="K40" s="173"/>
      <c r="L40" s="186"/>
      <c r="M40" s="186"/>
      <c r="N40" s="186"/>
      <c r="O40" s="186"/>
      <c r="P40" s="186"/>
      <c r="Q40" s="187"/>
      <c r="R40" s="188"/>
      <c r="S40" s="182"/>
    </row>
    <row r="41" ht="17.1" customHeight="1">
      <c r="A41" t="s" s="135">
        <v>76</v>
      </c>
      <c r="B41" t="s" s="167">
        <v>77</v>
      </c>
      <c r="C41" s="168"/>
      <c r="D41" s="168"/>
      <c r="E41" s="168"/>
      <c r="F41" s="168"/>
      <c r="G41" s="168"/>
      <c r="H41" s="168"/>
      <c r="I41" s="168"/>
      <c r="J41" s="169"/>
      <c r="K41" s="173"/>
      <c r="L41" s="186"/>
      <c r="M41" s="186"/>
      <c r="N41" s="186"/>
      <c r="O41" s="186"/>
      <c r="P41" s="186"/>
      <c r="Q41" s="187"/>
      <c r="R41" s="188"/>
      <c r="S41" s="182"/>
    </row>
    <row r="42" ht="19.5" customHeight="1">
      <c r="A42" s="143"/>
      <c r="B42" t="s" s="189">
        <v>78</v>
      </c>
      <c r="C42" s="190"/>
      <c r="D42" t="s" s="189">
        <v>79</v>
      </c>
      <c r="E42" s="190"/>
      <c r="F42" t="s" s="189">
        <v>80</v>
      </c>
      <c r="G42" s="190"/>
      <c r="H42" t="s" s="189">
        <v>81</v>
      </c>
      <c r="I42" s="190"/>
      <c r="J42" t="s" s="191">
        <v>82</v>
      </c>
      <c r="K42" s="192"/>
      <c r="L42" s="186"/>
      <c r="M42" s="186"/>
      <c r="N42" s="186"/>
      <c r="O42" s="186"/>
      <c r="P42" s="186"/>
      <c r="Q42" s="187"/>
      <c r="R42" s="188"/>
      <c r="S42" s="182"/>
    </row>
    <row r="43" ht="19.5" customHeight="1">
      <c r="A43" s="143"/>
      <c r="B43" t="s" s="193">
        <v>83</v>
      </c>
      <c r="C43" s="194"/>
      <c r="D43" t="s" s="193">
        <v>83</v>
      </c>
      <c r="E43" s="194"/>
      <c r="F43" t="s" s="193">
        <v>83</v>
      </c>
      <c r="G43" s="194"/>
      <c r="H43" t="s" s="193">
        <v>83</v>
      </c>
      <c r="I43" s="194"/>
      <c r="J43" t="s" s="195">
        <v>83</v>
      </c>
      <c r="K43" s="192"/>
      <c r="L43" s="186"/>
      <c r="M43" s="186"/>
      <c r="N43" s="186"/>
      <c r="O43" s="186"/>
      <c r="P43" s="186"/>
      <c r="Q43" s="187"/>
      <c r="R43" s="188"/>
      <c r="S43" s="182"/>
    </row>
    <row r="44" ht="19.5" customHeight="1">
      <c r="A44" s="150"/>
      <c r="B44" t="s" s="167">
        <v>84</v>
      </c>
      <c r="C44" s="168"/>
      <c r="D44" s="168"/>
      <c r="E44" s="168"/>
      <c r="F44" s="168"/>
      <c r="G44" s="168"/>
      <c r="H44" s="168"/>
      <c r="I44" s="168"/>
      <c r="J44" s="169"/>
      <c r="K44" s="173"/>
      <c r="L44" s="186"/>
      <c r="M44" s="186"/>
      <c r="N44" s="186"/>
      <c r="O44" s="186"/>
      <c r="P44" s="186"/>
      <c r="Q44" s="187"/>
      <c r="R44" s="188"/>
      <c r="S44" s="182"/>
    </row>
    <row r="45" ht="21" customHeight="1">
      <c r="A45" t="s" s="196">
        <v>85</v>
      </c>
      <c r="B45" t="s" s="197">
        <v>86</v>
      </c>
      <c r="C45" s="198"/>
      <c r="D45" s="198"/>
      <c r="E45" s="198"/>
      <c r="F45" s="198"/>
      <c r="G45" s="198"/>
      <c r="H45" s="198"/>
      <c r="I45" s="198"/>
      <c r="J45" s="199"/>
      <c r="K45" s="49"/>
      <c r="L45" s="200"/>
      <c r="M45" s="200"/>
      <c r="N45" s="200"/>
      <c r="O45" s="200"/>
      <c r="P45" s="200"/>
      <c r="Q45" s="10"/>
      <c r="R45" s="200"/>
      <c r="S45" s="142"/>
    </row>
    <row r="46" ht="19.5" customHeight="1">
      <c r="A46" t="s" s="201">
        <v>87</v>
      </c>
      <c r="B46" s="202"/>
      <c r="C46" s="202"/>
      <c r="D46" s="202"/>
      <c r="E46" s="202"/>
      <c r="F46" s="202"/>
      <c r="G46" s="202"/>
      <c r="H46" s="202"/>
      <c r="I46" s="202"/>
      <c r="J46" s="203"/>
      <c r="K46" s="49"/>
      <c r="L46" s="10"/>
      <c r="M46" s="10"/>
      <c r="N46" s="10"/>
      <c r="O46" s="10"/>
      <c r="P46" s="10"/>
      <c r="Q46" s="10"/>
      <c r="R46" s="10"/>
      <c r="S46" s="13"/>
    </row>
    <row r="47" ht="23.25" customHeight="1">
      <c r="A47" t="s" s="204">
        <v>88</v>
      </c>
      <c r="B47" s="205"/>
      <c r="C47" s="205"/>
      <c r="D47" s="205"/>
      <c r="E47" s="205"/>
      <c r="F47" t="s" s="206">
        <v>89</v>
      </c>
      <c r="G47" s="205"/>
      <c r="H47" s="205"/>
      <c r="I47" s="205"/>
      <c r="J47" s="207"/>
      <c r="K47" s="49"/>
      <c r="L47" s="10"/>
      <c r="M47" s="10"/>
      <c r="N47" s="10"/>
      <c r="O47" s="10"/>
      <c r="P47" s="10"/>
      <c r="Q47" s="10"/>
      <c r="R47" s="10"/>
      <c r="S47" s="161"/>
    </row>
    <row r="48" ht="23.25" customHeight="1">
      <c r="A48" t="s" s="208">
        <v>90</v>
      </c>
      <c r="B48" s="209"/>
      <c r="C48" t="s" s="210">
        <f>A4</f>
        <v>91</v>
      </c>
      <c r="D48" s="209"/>
      <c r="E48" s="209"/>
      <c r="F48" t="s" s="211">
        <v>92</v>
      </c>
      <c r="G48" t="s" s="212">
        <v>93</v>
      </c>
      <c r="H48" s="213"/>
      <c r="I48" s="213"/>
      <c r="J48" s="214"/>
      <c r="K48" s="49"/>
      <c r="L48" s="10"/>
      <c r="M48" s="10"/>
      <c r="N48" s="10"/>
      <c r="O48" s="10"/>
      <c r="P48" s="10"/>
      <c r="Q48" s="10"/>
      <c r="R48" s="10"/>
      <c r="S48" s="13"/>
    </row>
    <row r="49" ht="23.25" customHeight="1">
      <c r="A49" t="s" s="215">
        <v>94</v>
      </c>
      <c r="B49" s="216"/>
      <c r="C49" t="s" s="217">
        <v>95</v>
      </c>
      <c r="D49" s="216"/>
      <c r="E49" s="216"/>
      <c r="F49" t="s" s="218">
        <v>96</v>
      </c>
      <c r="G49" t="s" s="219">
        <v>97</v>
      </c>
      <c r="H49" s="220"/>
      <c r="I49" s="220"/>
      <c r="J49" s="221"/>
      <c r="K49" s="49"/>
      <c r="L49" s="10"/>
      <c r="M49" s="10"/>
      <c r="N49" s="10"/>
      <c r="O49" s="10"/>
      <c r="P49" s="10"/>
      <c r="Q49" s="10"/>
      <c r="R49" s="10"/>
      <c r="S49" s="13"/>
    </row>
    <row r="50" ht="23.25" customHeight="1">
      <c r="A50" t="s" s="215">
        <v>98</v>
      </c>
      <c r="B50" s="216"/>
      <c r="C50" t="s" s="222">
        <v>16</v>
      </c>
      <c r="D50" s="223"/>
      <c r="E50" s="224"/>
      <c r="F50" t="s" s="225">
        <v>99</v>
      </c>
      <c r="G50" t="s" s="219">
        <v>100</v>
      </c>
      <c r="H50" s="220"/>
      <c r="I50" s="220"/>
      <c r="J50" s="221"/>
      <c r="K50" s="49"/>
      <c r="L50" s="10"/>
      <c r="M50" s="10"/>
      <c r="N50" s="10"/>
      <c r="O50" s="10"/>
      <c r="P50" s="10"/>
      <c r="Q50" s="10"/>
      <c r="R50" s="10"/>
      <c r="S50" s="13"/>
    </row>
    <row r="51" ht="23.25" customHeight="1">
      <c r="A51" t="s" s="226">
        <v>101</v>
      </c>
      <c r="B51" s="227"/>
      <c r="C51" t="s" s="228">
        <v>102</v>
      </c>
      <c r="D51" s="229"/>
      <c r="E51" s="230"/>
      <c r="F51" t="s" s="231">
        <v>103</v>
      </c>
      <c r="G51" t="s" s="232">
        <v>104</v>
      </c>
      <c r="H51" s="233"/>
      <c r="I51" s="233"/>
      <c r="J51" s="234"/>
      <c r="K51" s="49"/>
      <c r="L51" s="10"/>
      <c r="M51" s="10"/>
      <c r="N51" s="10"/>
      <c r="O51" s="10"/>
      <c r="P51" s="10"/>
      <c r="Q51" s="10"/>
      <c r="R51" s="10"/>
      <c r="S51" s="13"/>
    </row>
    <row r="52" ht="16.5" customHeight="1">
      <c r="A52" s="56"/>
      <c r="B52" s="56"/>
      <c r="C52" s="56"/>
      <c r="D52" s="56"/>
      <c r="E52" s="56"/>
      <c r="F52" s="56"/>
      <c r="G52" s="56"/>
      <c r="H52" s="56"/>
      <c r="I52" s="56"/>
      <c r="J52" s="56"/>
      <c r="K52" s="10"/>
      <c r="L52" s="10"/>
      <c r="M52" s="10"/>
      <c r="N52" s="10"/>
      <c r="O52" s="10"/>
      <c r="P52" s="10"/>
      <c r="Q52" s="10"/>
      <c r="R52" s="10"/>
      <c r="S52" s="10"/>
    </row>
  </sheetData>
  <mergeCells count="85">
    <mergeCell ref="A41:A44"/>
    <mergeCell ref="B42:C42"/>
    <mergeCell ref="D42:E42"/>
    <mergeCell ref="F42:G42"/>
    <mergeCell ref="H42:I42"/>
    <mergeCell ref="B43:C43"/>
    <mergeCell ref="D43:E43"/>
    <mergeCell ref="F43:G43"/>
    <mergeCell ref="H43:I43"/>
    <mergeCell ref="B44:J44"/>
    <mergeCell ref="B21:J21"/>
    <mergeCell ref="B20:J20"/>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conditionalFormatting sqref="M5:M6 O5:P5 E11 G11 H18:J18 C24:H24 P27 M28 L36:P44">
    <cfRule type="cellIs" dxfId="0" priority="1" operator="lessThan" stopIfTrue="1">
      <formula>0</formula>
    </cfRule>
  </conditionalFormatting>
  <pageMargins left="0.708661" right="0.708661" top="0.393701" bottom="0.590551" header="0.314961" footer="0.314961"/>
  <pageSetup firstPageNumber="1" fitToHeight="1" fitToWidth="1" scale="67" useFirstPageNumber="0" orientation="portrait" pageOrder="downThenOver"/>
  <headerFooter>
    <oddFooter>&amp;C&amp;"Helvetica Neue,Regular"&amp;12&amp;K000000&amp;P</oddFooter>
  </headerFooter>
  <drawing r:id="rId1"/>
  <legacyDrawing r:id="rId2"/>
</worksheet>
</file>

<file path=xl/worksheets/sheet3.xml><?xml version="1.0" encoding="utf-8"?>
<worksheet xmlns:r="http://schemas.openxmlformats.org/officeDocument/2006/relationships" xmlns="http://schemas.openxmlformats.org/spreadsheetml/2006/main">
  <dimension ref="A1:S51"/>
  <sheetViews>
    <sheetView workbookViewId="0" showGridLines="0" defaultGridColor="1"/>
  </sheetViews>
  <sheetFormatPr defaultColWidth="8.83333" defaultRowHeight="16.5" customHeight="1" outlineLevelRow="0" outlineLevelCol="0"/>
  <cols>
    <col min="1" max="1" width="10.3516" style="235" customWidth="1"/>
    <col min="2" max="2" width="12.5" style="235" customWidth="1"/>
    <col min="3" max="3" width="12.3516" style="235" customWidth="1"/>
    <col min="4" max="4" width="11.8516" style="235" customWidth="1"/>
    <col min="5" max="5" width="12.3516" style="235" customWidth="1"/>
    <col min="6" max="6" width="11" style="235" customWidth="1"/>
    <col min="7" max="7" width="15.6719" style="235" customWidth="1"/>
    <col min="8" max="8" width="9" style="235" customWidth="1"/>
    <col min="9" max="9" width="12.3516" style="235" customWidth="1"/>
    <col min="10" max="10" width="11.8516" style="235" customWidth="1"/>
    <col min="11" max="11" width="5.5" style="235" customWidth="1"/>
    <col min="12" max="16" width="11.6719" style="235" customWidth="1"/>
    <col min="17" max="17" width="14.3516" style="235" customWidth="1"/>
    <col min="18" max="18" width="10" style="235" customWidth="1"/>
    <col min="19" max="19" width="13" style="235" customWidth="1"/>
    <col min="20" max="16384" width="8.85156" style="235" customWidth="1"/>
  </cols>
  <sheetData>
    <row r="1" ht="14.25" customHeight="1">
      <c r="A1" t="s" s="7">
        <v>6</v>
      </c>
      <c r="B1" s="8"/>
      <c r="C1" s="8"/>
      <c r="D1" s="8"/>
      <c r="E1" s="8"/>
      <c r="F1" s="9"/>
      <c r="G1" s="9"/>
      <c r="H1" s="9"/>
      <c r="I1" s="9"/>
      <c r="J1" s="9"/>
      <c r="K1" s="10"/>
      <c r="L1" t="s" s="11">
        <v>7</v>
      </c>
      <c r="M1" s="12"/>
      <c r="N1" s="12"/>
      <c r="O1" s="12"/>
      <c r="P1" s="12"/>
      <c r="Q1" s="12"/>
      <c r="R1" s="10"/>
      <c r="S1" s="13"/>
    </row>
    <row r="2" ht="27" customHeight="1">
      <c r="A2" t="s" s="14">
        <v>8</v>
      </c>
      <c r="B2" s="15"/>
      <c r="C2" s="15"/>
      <c r="D2" s="15"/>
      <c r="E2" s="15"/>
      <c r="F2" s="15"/>
      <c r="G2" s="15"/>
      <c r="H2" s="15"/>
      <c r="I2" s="15"/>
      <c r="J2" s="15"/>
      <c r="K2" s="10"/>
      <c r="L2" s="12"/>
      <c r="M2" s="12"/>
      <c r="N2" s="12"/>
      <c r="O2" s="12"/>
      <c r="P2" s="12"/>
      <c r="Q2" s="12"/>
      <c r="R2" s="10"/>
      <c r="S2" s="13"/>
    </row>
    <row r="3" ht="8" customHeight="1">
      <c r="A3" s="16"/>
      <c r="B3" s="16"/>
      <c r="C3" s="16"/>
      <c r="D3" s="16"/>
      <c r="E3" s="16"/>
      <c r="F3" s="16"/>
      <c r="G3" s="16"/>
      <c r="H3" s="16"/>
      <c r="I3" s="16"/>
      <c r="J3" s="16"/>
      <c r="K3" s="17"/>
      <c r="L3" t="s" s="18">
        <v>9</v>
      </c>
      <c r="M3" s="19"/>
      <c r="N3" s="19"/>
      <c r="O3" s="19"/>
      <c r="P3" s="19"/>
      <c r="Q3" s="10"/>
      <c r="R3" s="10"/>
      <c r="S3" s="13"/>
    </row>
    <row r="4" ht="17.25" customHeight="1">
      <c r="A4" t="s" s="20">
        <v>10</v>
      </c>
      <c r="B4" s="21"/>
      <c r="C4" t="s" s="22">
        <v>11</v>
      </c>
      <c r="D4" s="23"/>
      <c r="E4" s="236"/>
      <c r="F4" t="s" s="22">
        <v>13</v>
      </c>
      <c r="G4" s="25"/>
      <c r="H4" s="25"/>
      <c r="I4" s="25"/>
      <c r="J4" s="26"/>
      <c r="K4" s="27"/>
      <c r="L4" s="19"/>
      <c r="M4" s="19"/>
      <c r="N4" s="19"/>
      <c r="O4" s="19"/>
      <c r="P4" s="19"/>
      <c r="Q4" s="10"/>
      <c r="R4" s="10"/>
      <c r="S4" s="13"/>
    </row>
    <row r="5" ht="15" customHeight="1">
      <c r="A5" t="s" s="28">
        <v>14</v>
      </c>
      <c r="B5" s="29"/>
      <c r="C5" s="30"/>
      <c r="D5" s="30"/>
      <c r="E5" s="29"/>
      <c r="F5" s="30"/>
      <c r="G5" s="30"/>
      <c r="H5" s="30"/>
      <c r="I5" s="30"/>
      <c r="J5" s="31"/>
      <c r="K5" s="27"/>
      <c r="L5" t="s" s="32">
        <v>9</v>
      </c>
      <c r="M5" s="33"/>
      <c r="N5" s="34"/>
      <c r="O5" s="33"/>
      <c r="P5" s="33"/>
      <c r="Q5" s="35"/>
      <c r="R5" s="10"/>
      <c r="S5" s="13"/>
    </row>
    <row r="6" ht="21.75" customHeight="1">
      <c r="A6" t="s" s="36">
        <v>15</v>
      </c>
      <c r="B6" s="237"/>
      <c r="C6" s="38"/>
      <c r="D6" s="38"/>
      <c r="E6" s="39"/>
      <c r="F6" t="s" s="40">
        <v>17</v>
      </c>
      <c r="G6" s="41"/>
      <c r="H6" s="237"/>
      <c r="I6" s="38"/>
      <c r="J6" s="42"/>
      <c r="K6" s="43"/>
      <c r="L6" t="s" s="44">
        <v>19</v>
      </c>
      <c r="M6" s="45"/>
      <c r="N6" t="s" s="46">
        <v>20</v>
      </c>
      <c r="O6" s="47">
        <v>8</v>
      </c>
      <c r="P6" t="s" s="46">
        <v>21</v>
      </c>
      <c r="Q6" s="48">
        <v>6</v>
      </c>
      <c r="R6" s="49"/>
      <c r="S6" s="13"/>
    </row>
    <row r="7" ht="21.75" customHeight="1">
      <c r="A7" t="s" s="50">
        <v>22</v>
      </c>
      <c r="B7" s="51"/>
      <c r="C7" s="51"/>
      <c r="D7" s="51"/>
      <c r="E7" s="51"/>
      <c r="F7" t="s" s="52">
        <v>23</v>
      </c>
      <c r="G7" s="53"/>
      <c r="H7" t="s" s="238">
        <v>9</v>
      </c>
      <c r="I7" s="51"/>
      <c r="J7" s="54"/>
      <c r="K7" s="49"/>
      <c r="L7" s="55"/>
      <c r="M7" s="55"/>
      <c r="N7" s="55"/>
      <c r="O7" s="55"/>
      <c r="P7" s="55"/>
      <c r="Q7" s="56"/>
      <c r="R7" s="10"/>
      <c r="S7" s="13"/>
    </row>
    <row r="8" ht="18" customHeight="1">
      <c r="A8" t="s" s="57">
        <v>24</v>
      </c>
      <c r="B8" t="s" s="58">
        <v>106</v>
      </c>
      <c r="C8" s="59"/>
      <c r="D8" t="s" s="60">
        <v>107</v>
      </c>
      <c r="E8" s="59"/>
      <c r="F8" t="s" s="61">
        <v>27</v>
      </c>
      <c r="G8" t="s" s="62">
        <v>28</v>
      </c>
      <c r="H8" s="63"/>
      <c r="I8" s="63"/>
      <c r="J8" s="64"/>
      <c r="K8" s="49"/>
      <c r="L8" s="34"/>
      <c r="M8" s="34"/>
      <c r="N8" s="34"/>
      <c r="O8" s="34"/>
      <c r="P8" s="34"/>
      <c r="Q8" s="35"/>
      <c r="R8" s="10"/>
      <c r="S8" s="13"/>
    </row>
    <row r="9" ht="12" customHeight="1">
      <c r="A9" s="65"/>
      <c r="B9" t="s" s="66">
        <v>29</v>
      </c>
      <c r="C9" s="67"/>
      <c r="D9" s="67"/>
      <c r="E9" s="67"/>
      <c r="F9" s="68"/>
      <c r="G9" s="68"/>
      <c r="H9" s="68"/>
      <c r="I9" s="68"/>
      <c r="J9" s="69"/>
      <c r="K9" s="43"/>
      <c r="L9" t="s" s="70">
        <v>30</v>
      </c>
      <c r="M9" t="s" s="71">
        <v>31</v>
      </c>
      <c r="N9" t="s" s="71">
        <v>32</v>
      </c>
      <c r="O9" t="s" s="71">
        <v>33</v>
      </c>
      <c r="P9" t="s" s="71">
        <v>34</v>
      </c>
      <c r="Q9" t="s" s="72">
        <v>35</v>
      </c>
      <c r="R9" s="49"/>
      <c r="S9" s="13"/>
    </row>
    <row r="10" ht="30" customHeight="1">
      <c r="A10" s="73"/>
      <c r="B10" s="74"/>
      <c r="C10" s="75"/>
      <c r="D10" s="75"/>
      <c r="E10" s="75"/>
      <c r="F10" s="75"/>
      <c r="G10" s="75"/>
      <c r="H10" s="75"/>
      <c r="I10" s="75"/>
      <c r="J10" s="76"/>
      <c r="K10" t="s" s="77">
        <v>9</v>
      </c>
      <c r="L10" t="s" s="78">
        <v>36</v>
      </c>
      <c r="M10" s="79">
        <v>48</v>
      </c>
      <c r="N10" s="80">
        <v>1</v>
      </c>
      <c r="O10" s="81">
        <v>4.34</v>
      </c>
      <c r="P10" s="82">
        <f>M10*O10</f>
        <v>208.32</v>
      </c>
      <c r="Q10" s="83">
        <f>P10/P15</f>
        <v>0.730066165750813</v>
      </c>
      <c r="R10" s="49"/>
      <c r="S10" s="13"/>
    </row>
    <row r="11" ht="19.5" customHeight="1">
      <c r="A11" t="s" s="57">
        <v>37</v>
      </c>
      <c r="B11" t="s" s="84">
        <v>38</v>
      </c>
      <c r="C11" s="85"/>
      <c r="D11" s="86"/>
      <c r="E11" s="87">
        <f>D24</f>
        <v>146013.233150163</v>
      </c>
      <c r="F11" t="s" s="88">
        <v>39</v>
      </c>
      <c r="G11" s="89">
        <f>E11/8</f>
        <v>18251.6541437704</v>
      </c>
      <c r="H11" t="s" s="90">
        <v>40</v>
      </c>
      <c r="I11" s="91"/>
      <c r="J11" s="92"/>
      <c r="K11" s="43"/>
      <c r="L11" t="s" s="78">
        <v>41</v>
      </c>
      <c r="M11" s="79">
        <v>9.6</v>
      </c>
      <c r="N11" s="80">
        <v>1</v>
      </c>
      <c r="O11" s="81">
        <v>4.34</v>
      </c>
      <c r="P11" s="82">
        <f>M11*O11</f>
        <v>41.664</v>
      </c>
      <c r="Q11" s="83">
        <f>P11/P15</f>
        <v>0.146013233150163</v>
      </c>
      <c r="R11" s="49"/>
      <c r="S11" s="13"/>
    </row>
    <row r="12" ht="17.25" customHeight="1">
      <c r="A12" s="65"/>
      <c r="B12" t="s" s="93">
        <v>42</v>
      </c>
      <c r="C12" s="94"/>
      <c r="D12" s="94"/>
      <c r="E12" s="95"/>
      <c r="F12" s="94"/>
      <c r="G12" s="95"/>
      <c r="H12" s="94"/>
      <c r="I12" s="94"/>
      <c r="J12" s="96"/>
      <c r="K12" s="43"/>
      <c r="L12" t="s" s="78">
        <v>43</v>
      </c>
      <c r="M12" s="79">
        <v>12</v>
      </c>
      <c r="N12" s="80">
        <v>1</v>
      </c>
      <c r="O12" s="81">
        <v>0</v>
      </c>
      <c r="P12" s="82">
        <f>M12*N12*O12</f>
        <v>0</v>
      </c>
      <c r="Q12" s="83">
        <f>P12/P15</f>
        <v>0</v>
      </c>
      <c r="R12" s="98"/>
      <c r="S12" s="99"/>
    </row>
    <row r="13" ht="17.25" customHeight="1">
      <c r="A13" s="65"/>
      <c r="B13" s="100"/>
      <c r="C13" s="94"/>
      <c r="D13" s="94"/>
      <c r="E13" s="94"/>
      <c r="F13" s="94"/>
      <c r="G13" s="94"/>
      <c r="H13" s="94"/>
      <c r="I13" s="94"/>
      <c r="J13" s="96"/>
      <c r="K13" s="43"/>
      <c r="L13" t="s" s="78">
        <v>44</v>
      </c>
      <c r="M13" s="79">
        <v>8</v>
      </c>
      <c r="N13" s="80">
        <v>0.5</v>
      </c>
      <c r="O13" s="81">
        <v>4.34</v>
      </c>
      <c r="P13" s="82">
        <f>M13*N13*O13</f>
        <v>17.36</v>
      </c>
      <c r="Q13" s="101">
        <f>P13/P15</f>
        <v>0.0608388471459011</v>
      </c>
      <c r="R13" s="49"/>
      <c r="S13" s="13"/>
    </row>
    <row r="14" ht="17.25" customHeight="1">
      <c r="A14" s="65"/>
      <c r="B14" s="100"/>
      <c r="C14" s="94"/>
      <c r="D14" s="94"/>
      <c r="E14" s="94"/>
      <c r="F14" s="94"/>
      <c r="G14" s="94"/>
      <c r="H14" s="94"/>
      <c r="I14" s="94"/>
      <c r="J14" s="96"/>
      <c r="K14" s="43"/>
      <c r="L14" t="s" s="78">
        <v>45</v>
      </c>
      <c r="M14" s="81">
        <v>0</v>
      </c>
      <c r="N14" s="80"/>
      <c r="O14" s="81">
        <v>0</v>
      </c>
      <c r="P14" s="82">
        <v>18</v>
      </c>
      <c r="Q14" s="101">
        <f>P14/P15</f>
        <v>0.0630817539531232</v>
      </c>
      <c r="R14" s="49"/>
      <c r="S14" s="13"/>
    </row>
    <row r="15" ht="13.5" customHeight="1">
      <c r="A15" s="65"/>
      <c r="B15" t="s" s="102">
        <v>46</v>
      </c>
      <c r="C15" s="68"/>
      <c r="D15" s="68"/>
      <c r="E15" s="68"/>
      <c r="F15" s="68"/>
      <c r="G15" s="68"/>
      <c r="H15" s="68"/>
      <c r="I15" s="68"/>
      <c r="J15" s="69"/>
      <c r="K15" s="43"/>
      <c r="L15" t="s" s="103">
        <v>47</v>
      </c>
      <c r="M15" s="104"/>
      <c r="N15" s="104"/>
      <c r="O15" s="105">
        <v>0</v>
      </c>
      <c r="P15" s="106">
        <f>SUM(P10:P14)</f>
        <v>285.344</v>
      </c>
      <c r="Q15" s="107">
        <f>SUM(Q10:Q14)</f>
        <v>1</v>
      </c>
      <c r="R15" s="49"/>
      <c r="S15" s="13"/>
    </row>
    <row r="16" ht="13.5" customHeight="1">
      <c r="A16" s="65"/>
      <c r="B16" s="108"/>
      <c r="C16" s="68"/>
      <c r="D16" s="68"/>
      <c r="E16" s="68"/>
      <c r="F16" s="68"/>
      <c r="G16" s="68"/>
      <c r="H16" s="68"/>
      <c r="I16" s="68"/>
      <c r="J16" s="69"/>
      <c r="K16" s="49"/>
      <c r="L16" s="56"/>
      <c r="M16" s="56"/>
      <c r="N16" s="56"/>
      <c r="O16" s="56"/>
      <c r="P16" s="56"/>
      <c r="Q16" s="56"/>
      <c r="R16" s="10"/>
      <c r="S16" s="13"/>
    </row>
    <row r="17" ht="21" customHeight="1">
      <c r="A17" s="65"/>
      <c r="B17" t="s" s="102">
        <v>48</v>
      </c>
      <c r="C17" s="68"/>
      <c r="D17" s="68"/>
      <c r="E17" s="68"/>
      <c r="F17" s="68"/>
      <c r="G17" s="109"/>
      <c r="H17" s="109"/>
      <c r="I17" s="109"/>
      <c r="J17" s="110"/>
      <c r="K17" s="49"/>
      <c r="L17" s="111"/>
      <c r="M17" s="112"/>
      <c r="N17" t="s" s="113">
        <v>49</v>
      </c>
      <c r="O17" s="114"/>
      <c r="P17" s="114"/>
      <c r="Q17" s="115">
        <v>9620</v>
      </c>
      <c r="R17" s="10"/>
      <c r="S17" s="13"/>
    </row>
    <row r="18" ht="15.75" customHeight="1">
      <c r="A18" s="65"/>
      <c r="B18" t="s" s="116">
        <v>108</v>
      </c>
      <c r="C18" s="117"/>
      <c r="D18" s="117"/>
      <c r="E18" s="117"/>
      <c r="F18" s="118"/>
      <c r="G18" s="119">
        <v>200000</v>
      </c>
      <c r="H18" t="s" s="120">
        <v>51</v>
      </c>
      <c r="I18" s="121"/>
      <c r="J18" s="122"/>
      <c r="K18" s="49"/>
      <c r="L18" s="111"/>
      <c r="M18" s="112"/>
      <c r="N18" s="10"/>
      <c r="O18" s="10"/>
      <c r="P18" s="123"/>
      <c r="Q18" s="10"/>
      <c r="R18" s="10"/>
      <c r="S18" s="13"/>
    </row>
    <row r="19" ht="15.75" customHeight="1">
      <c r="A19" s="65"/>
      <c r="B19" t="s" s="124">
        <v>109</v>
      </c>
      <c r="C19" s="125"/>
      <c r="D19" s="125"/>
      <c r="E19" s="125"/>
      <c r="F19" s="125"/>
      <c r="G19" s="126"/>
      <c r="H19" s="126"/>
      <c r="I19" s="126"/>
      <c r="J19" s="127"/>
      <c r="K19" s="49"/>
      <c r="L19" t="s" s="128">
        <v>53</v>
      </c>
      <c r="M19" s="129"/>
      <c r="N19" s="129"/>
      <c r="O19" s="129"/>
      <c r="P19" s="129"/>
      <c r="Q19" s="130"/>
      <c r="R19" s="10"/>
      <c r="S19" s="13"/>
    </row>
    <row r="20" ht="15.75" customHeight="1">
      <c r="A20" s="65"/>
      <c r="B20" t="s" s="124">
        <v>54</v>
      </c>
      <c r="C20" s="125"/>
      <c r="D20" s="125"/>
      <c r="E20" s="125"/>
      <c r="F20" s="125"/>
      <c r="G20" s="125"/>
      <c r="H20" s="125"/>
      <c r="I20" s="125"/>
      <c r="J20" s="131"/>
      <c r="K20" s="49"/>
      <c r="L20" t="s" s="128">
        <v>55</v>
      </c>
      <c r="M20" s="129"/>
      <c r="N20" s="129"/>
      <c r="O20" s="129"/>
      <c r="P20" s="129"/>
      <c r="Q20" s="130"/>
      <c r="R20" s="10"/>
      <c r="S20" s="13"/>
    </row>
    <row r="21" ht="15.75" customHeight="1">
      <c r="A21" s="73"/>
      <c r="B21" t="s" s="239">
        <v>110</v>
      </c>
      <c r="C21" s="240"/>
      <c r="D21" s="240"/>
      <c r="E21" s="240"/>
      <c r="F21" s="240"/>
      <c r="G21" s="240"/>
      <c r="H21" s="240"/>
      <c r="I21" s="240"/>
      <c r="J21" s="241"/>
      <c r="K21" s="49"/>
      <c r="L21" t="s" s="128">
        <v>57</v>
      </c>
      <c r="M21" s="129"/>
      <c r="N21" s="129"/>
      <c r="O21" s="129"/>
      <c r="P21" s="129"/>
      <c r="Q21" s="130"/>
      <c r="R21" s="10"/>
      <c r="S21" s="13"/>
    </row>
    <row r="22" ht="18.75" customHeight="1">
      <c r="A22" t="s" s="135">
        <v>58</v>
      </c>
      <c r="B22" t="s" s="136">
        <v>59</v>
      </c>
      <c r="C22" s="137"/>
      <c r="D22" t="s" s="138">
        <v>36</v>
      </c>
      <c r="E22" t="s" s="138">
        <v>60</v>
      </c>
      <c r="F22" t="s" s="138">
        <v>43</v>
      </c>
      <c r="G22" t="s" s="139">
        <v>61</v>
      </c>
      <c r="H22" s="140"/>
      <c r="I22" t="s" s="139">
        <v>45</v>
      </c>
      <c r="J22" s="141"/>
      <c r="K22" s="49"/>
      <c r="L22" t="s" s="128">
        <v>62</v>
      </c>
      <c r="M22" s="129"/>
      <c r="N22" s="129"/>
      <c r="O22" s="129"/>
      <c r="P22" s="129"/>
      <c r="Q22" s="130"/>
      <c r="R22" s="129"/>
      <c r="S22" s="142"/>
    </row>
    <row r="23" ht="18.75" customHeight="1">
      <c r="A23" s="143"/>
      <c r="B23" t="s" s="144">
        <v>63</v>
      </c>
      <c r="C23" s="145"/>
      <c r="D23" s="146">
        <f>Q10</f>
        <v>0.730066165750813</v>
      </c>
      <c r="E23" s="146">
        <f>Q11</f>
        <v>0.146013233150163</v>
      </c>
      <c r="F23" s="146">
        <f>Q12</f>
        <v>0</v>
      </c>
      <c r="G23" s="147">
        <f>Q13</f>
        <v>0.0608388471459011</v>
      </c>
      <c r="H23" s="148"/>
      <c r="I23" s="147">
        <f>Q14</f>
        <v>0.0630817539531232</v>
      </c>
      <c r="J23" s="149"/>
      <c r="K23" s="49"/>
      <c r="L23" s="129"/>
      <c r="M23" s="129"/>
      <c r="N23" s="129"/>
      <c r="O23" s="129"/>
      <c r="P23" s="129"/>
      <c r="Q23" s="129"/>
      <c r="R23" s="129"/>
      <c r="S23" s="142"/>
    </row>
    <row r="24" ht="18.75" customHeight="1">
      <c r="A24" s="150"/>
      <c r="B24" t="s" s="151">
        <v>64</v>
      </c>
      <c r="C24" s="152">
        <f>G11</f>
        <v>18251.6541437704</v>
      </c>
      <c r="D24" s="153">
        <f>G18*$D$23</f>
        <v>146013.233150163</v>
      </c>
      <c r="E24" s="153">
        <f>G18*$E$23</f>
        <v>29202.6466300326</v>
      </c>
      <c r="F24" s="153">
        <f>G18*$F$23</f>
        <v>0</v>
      </c>
      <c r="G24" s="154">
        <f>G18*$G$23</f>
        <v>12167.7694291802</v>
      </c>
      <c r="H24" s="155"/>
      <c r="I24" s="156">
        <f>G18*$I$23</f>
        <v>12616.3507906246</v>
      </c>
      <c r="J24" s="157"/>
      <c r="K24" s="49"/>
      <c r="L24" s="129"/>
      <c r="M24" s="129"/>
      <c r="N24" s="129"/>
      <c r="O24" s="129"/>
      <c r="P24" s="129"/>
      <c r="Q24" s="129"/>
      <c r="R24" s="129"/>
      <c r="S24" s="142"/>
    </row>
    <row r="25" ht="54.75" customHeight="1">
      <c r="A25" t="s" s="135">
        <v>65</v>
      </c>
      <c r="B25" t="s" s="158">
        <v>111</v>
      </c>
      <c r="C25" s="159"/>
      <c r="D25" s="159"/>
      <c r="E25" s="159"/>
      <c r="F25" s="159"/>
      <c r="G25" s="159"/>
      <c r="H25" s="159"/>
      <c r="I25" s="159"/>
      <c r="J25" s="160"/>
      <c r="K25" s="49"/>
      <c r="L25" t="s" s="128">
        <v>9</v>
      </c>
      <c r="M25" s="129"/>
      <c r="N25" s="129"/>
      <c r="O25" s="129"/>
      <c r="P25" s="129"/>
      <c r="Q25" s="130"/>
      <c r="R25" s="10"/>
      <c r="S25" s="142"/>
    </row>
    <row r="26" ht="66.75" customHeight="1">
      <c r="A26" s="73"/>
      <c r="B26" s="74"/>
      <c r="C26" s="75"/>
      <c r="D26" s="75"/>
      <c r="E26" s="75"/>
      <c r="F26" s="75"/>
      <c r="G26" s="75"/>
      <c r="H26" s="75"/>
      <c r="I26" s="75"/>
      <c r="J26" s="76"/>
      <c r="K26" s="49"/>
      <c r="L26" t="s" s="128">
        <v>9</v>
      </c>
      <c r="M26" s="129"/>
      <c r="N26" s="129"/>
      <c r="O26" s="129"/>
      <c r="P26" s="129"/>
      <c r="Q26" s="130"/>
      <c r="R26" s="10"/>
      <c r="S26" s="142"/>
    </row>
    <row r="27" ht="27.75" customHeight="1">
      <c r="A27" t="s" s="57">
        <v>67</v>
      </c>
      <c r="B27" t="s" s="158">
        <v>68</v>
      </c>
      <c r="C27" s="159"/>
      <c r="D27" s="159"/>
      <c r="E27" s="159"/>
      <c r="F27" s="159"/>
      <c r="G27" s="159"/>
      <c r="H27" s="159"/>
      <c r="I27" s="159"/>
      <c r="J27" s="160"/>
      <c r="K27" s="49"/>
      <c r="L27" s="161">
        <f>C24*8</f>
        <v>146013.233150163</v>
      </c>
      <c r="M27" s="162">
        <f>E24*5</f>
        <v>146013.233150163</v>
      </c>
      <c r="N27" s="129"/>
      <c r="O27" s="162"/>
      <c r="P27" s="163"/>
      <c r="Q27" s="162"/>
      <c r="R27" s="164"/>
      <c r="S27" s="165"/>
    </row>
    <row r="28" ht="27.75" customHeight="1">
      <c r="A28" s="73"/>
      <c r="B28" s="74"/>
      <c r="C28" s="75"/>
      <c r="D28" s="75"/>
      <c r="E28" s="75"/>
      <c r="F28" s="75"/>
      <c r="G28" s="75"/>
      <c r="H28" s="75"/>
      <c r="I28" s="75"/>
      <c r="J28" s="76"/>
      <c r="K28" s="49"/>
      <c r="L28" s="161"/>
      <c r="M28" s="163"/>
      <c r="N28" s="10"/>
      <c r="O28" s="10"/>
      <c r="P28" s="10"/>
      <c r="Q28" s="10"/>
      <c r="R28" s="164"/>
      <c r="S28" s="165"/>
    </row>
    <row r="29" ht="40.5" customHeight="1">
      <c r="A29" t="s" s="166">
        <v>69</v>
      </c>
      <c r="B29" t="s" s="167">
        <v>70</v>
      </c>
      <c r="C29" s="168"/>
      <c r="D29" s="168"/>
      <c r="E29" s="168"/>
      <c r="F29" s="168"/>
      <c r="G29" s="168"/>
      <c r="H29" s="168"/>
      <c r="I29" s="168"/>
      <c r="J29" s="169"/>
      <c r="K29" s="49"/>
      <c r="L29" t="s" s="170">
        <v>71</v>
      </c>
      <c r="M29" s="171"/>
      <c r="N29" s="171"/>
      <c r="O29" s="171"/>
      <c r="P29" s="171"/>
      <c r="Q29" s="171"/>
      <c r="R29" s="164"/>
      <c r="S29" s="165"/>
    </row>
    <row r="30" ht="23.25" customHeight="1">
      <c r="A30" t="s" s="135">
        <v>72</v>
      </c>
      <c r="B30" t="s" s="158">
        <v>73</v>
      </c>
      <c r="C30" s="159"/>
      <c r="D30" s="159"/>
      <c r="E30" s="159"/>
      <c r="F30" s="159"/>
      <c r="G30" s="159"/>
      <c r="H30" s="159"/>
      <c r="I30" s="159"/>
      <c r="J30" s="160"/>
      <c r="K30" s="49"/>
      <c r="L30" s="171"/>
      <c r="M30" s="171"/>
      <c r="N30" s="171"/>
      <c r="O30" s="171"/>
      <c r="P30" s="171"/>
      <c r="Q30" s="171"/>
      <c r="R30" s="164"/>
      <c r="S30" s="164"/>
    </row>
    <row r="31" ht="23.25" customHeight="1">
      <c r="A31" s="143"/>
      <c r="B31" s="108"/>
      <c r="C31" s="68"/>
      <c r="D31" s="68"/>
      <c r="E31" s="68"/>
      <c r="F31" s="68"/>
      <c r="G31" s="68"/>
      <c r="H31" s="68"/>
      <c r="I31" s="68"/>
      <c r="J31" s="69"/>
      <c r="K31" s="49"/>
      <c r="L31" s="171"/>
      <c r="M31" s="171"/>
      <c r="N31" s="171"/>
      <c r="O31" s="171"/>
      <c r="P31" s="171"/>
      <c r="Q31" s="171"/>
      <c r="R31" s="10"/>
      <c r="S31" s="142"/>
    </row>
    <row r="32" ht="23.25" customHeight="1">
      <c r="A32" s="143"/>
      <c r="B32" s="108"/>
      <c r="C32" s="68"/>
      <c r="D32" s="68"/>
      <c r="E32" s="68"/>
      <c r="F32" s="68"/>
      <c r="G32" s="68"/>
      <c r="H32" s="68"/>
      <c r="I32" s="68"/>
      <c r="J32" s="69"/>
      <c r="K32" s="49"/>
      <c r="L32" s="171"/>
      <c r="M32" s="171"/>
      <c r="N32" s="171"/>
      <c r="O32" s="171"/>
      <c r="P32" s="171"/>
      <c r="Q32" s="171"/>
      <c r="R32" s="10"/>
      <c r="S32" s="142"/>
    </row>
    <row r="33" ht="23.25" customHeight="1">
      <c r="A33" s="143"/>
      <c r="B33" s="108"/>
      <c r="C33" s="68"/>
      <c r="D33" s="68"/>
      <c r="E33" s="68"/>
      <c r="F33" s="68"/>
      <c r="G33" s="68"/>
      <c r="H33" s="68"/>
      <c r="I33" s="68"/>
      <c r="J33" s="69"/>
      <c r="K33" s="49"/>
      <c r="L33" s="172"/>
      <c r="M33" s="172"/>
      <c r="N33" s="172"/>
      <c r="O33" s="172"/>
      <c r="P33" s="172"/>
      <c r="Q33" s="10"/>
      <c r="R33" s="10"/>
      <c r="S33" s="142"/>
    </row>
    <row r="34" ht="23.25" customHeight="1">
      <c r="A34" s="143"/>
      <c r="B34" s="108"/>
      <c r="C34" s="68"/>
      <c r="D34" s="68"/>
      <c r="E34" s="68"/>
      <c r="F34" s="68"/>
      <c r="G34" s="68"/>
      <c r="H34" s="68"/>
      <c r="I34" s="68"/>
      <c r="J34" s="69"/>
      <c r="K34" s="173"/>
      <c r="L34" s="174"/>
      <c r="M34" s="174"/>
      <c r="N34" s="174"/>
      <c r="O34" s="174"/>
      <c r="P34" s="174"/>
      <c r="Q34" s="175"/>
      <c r="R34" s="10"/>
      <c r="S34" s="142"/>
    </row>
    <row r="35" ht="28.5" customHeight="1">
      <c r="A35" s="150"/>
      <c r="B35" s="74"/>
      <c r="C35" s="75"/>
      <c r="D35" s="75"/>
      <c r="E35" s="75"/>
      <c r="F35" s="75"/>
      <c r="G35" s="75"/>
      <c r="H35" s="75"/>
      <c r="I35" s="75"/>
      <c r="J35" s="76"/>
      <c r="K35" s="173"/>
      <c r="L35" s="176"/>
      <c r="M35" s="176"/>
      <c r="N35" s="176"/>
      <c r="O35" s="176"/>
      <c r="P35" s="176"/>
      <c r="Q35" s="177"/>
      <c r="R35" s="178"/>
      <c r="S35" s="142"/>
    </row>
    <row r="36" ht="21" customHeight="1">
      <c r="A36" t="s" s="135">
        <v>74</v>
      </c>
      <c r="B36" t="s" s="158">
        <v>112</v>
      </c>
      <c r="C36" s="159"/>
      <c r="D36" s="159"/>
      <c r="E36" s="159"/>
      <c r="F36" s="159"/>
      <c r="G36" s="159"/>
      <c r="H36" s="159"/>
      <c r="I36" s="159"/>
      <c r="J36" s="160"/>
      <c r="K36" s="173"/>
      <c r="L36" s="179"/>
      <c r="M36" s="179"/>
      <c r="N36" s="179"/>
      <c r="O36" s="179"/>
      <c r="P36" s="179"/>
      <c r="Q36" s="180"/>
      <c r="R36" s="181"/>
      <c r="S36" s="182"/>
    </row>
    <row r="37" ht="19.5" customHeight="1">
      <c r="A37" s="143"/>
      <c r="B37" s="108"/>
      <c r="C37" s="68"/>
      <c r="D37" s="68"/>
      <c r="E37" s="68"/>
      <c r="F37" s="68"/>
      <c r="G37" s="68"/>
      <c r="H37" s="68"/>
      <c r="I37" s="68"/>
      <c r="J37" s="69"/>
      <c r="K37" s="173"/>
      <c r="L37" s="183"/>
      <c r="M37" s="183"/>
      <c r="N37" s="183"/>
      <c r="O37" s="183"/>
      <c r="P37" s="183"/>
      <c r="Q37" s="184"/>
      <c r="R37" s="185"/>
      <c r="S37" s="182"/>
    </row>
    <row r="38" ht="19.5" customHeight="1">
      <c r="A38" s="143"/>
      <c r="B38" s="108"/>
      <c r="C38" s="68"/>
      <c r="D38" s="68"/>
      <c r="E38" s="68"/>
      <c r="F38" s="68"/>
      <c r="G38" s="68"/>
      <c r="H38" s="68"/>
      <c r="I38" s="68"/>
      <c r="J38" s="69"/>
      <c r="K38" s="173"/>
      <c r="L38" s="186"/>
      <c r="M38" s="186"/>
      <c r="N38" s="186"/>
      <c r="O38" s="186"/>
      <c r="P38" s="186"/>
      <c r="Q38" s="187"/>
      <c r="R38" s="188"/>
      <c r="S38" s="182"/>
    </row>
    <row r="39" ht="19.5" customHeight="1">
      <c r="A39" s="143"/>
      <c r="B39" s="108"/>
      <c r="C39" s="68"/>
      <c r="D39" s="68"/>
      <c r="E39" s="68"/>
      <c r="F39" s="68"/>
      <c r="G39" s="68"/>
      <c r="H39" s="68"/>
      <c r="I39" s="68"/>
      <c r="J39" s="69"/>
      <c r="K39" s="173"/>
      <c r="L39" s="186"/>
      <c r="M39" s="186"/>
      <c r="N39" s="186"/>
      <c r="O39" s="186"/>
      <c r="P39" s="186"/>
      <c r="Q39" s="187"/>
      <c r="R39" s="188"/>
      <c r="S39" s="182"/>
    </row>
    <row r="40" ht="19.5" customHeight="1">
      <c r="A40" s="150"/>
      <c r="B40" s="74"/>
      <c r="C40" s="75"/>
      <c r="D40" s="75"/>
      <c r="E40" s="75"/>
      <c r="F40" s="75"/>
      <c r="G40" s="75"/>
      <c r="H40" s="75"/>
      <c r="I40" s="75"/>
      <c r="J40" s="76"/>
      <c r="K40" s="173"/>
      <c r="L40" s="186"/>
      <c r="M40" s="186"/>
      <c r="N40" s="186"/>
      <c r="O40" s="186"/>
      <c r="P40" s="186"/>
      <c r="Q40" s="187"/>
      <c r="R40" s="188"/>
      <c r="S40" s="182"/>
    </row>
    <row r="41" ht="17.1" customHeight="1">
      <c r="A41" t="s" s="135">
        <v>76</v>
      </c>
      <c r="B41" t="s" s="167">
        <v>77</v>
      </c>
      <c r="C41" s="168"/>
      <c r="D41" s="168"/>
      <c r="E41" s="168"/>
      <c r="F41" s="168"/>
      <c r="G41" s="168"/>
      <c r="H41" s="168"/>
      <c r="I41" s="168"/>
      <c r="J41" s="169"/>
      <c r="K41" s="173"/>
      <c r="L41" s="186"/>
      <c r="M41" s="186"/>
      <c r="N41" s="186"/>
      <c r="O41" s="186"/>
      <c r="P41" s="186"/>
      <c r="Q41" s="187"/>
      <c r="R41" s="188"/>
      <c r="S41" s="182"/>
    </row>
    <row r="42" ht="19.5" customHeight="1">
      <c r="A42" s="143"/>
      <c r="B42" t="s" s="189">
        <v>78</v>
      </c>
      <c r="C42" s="190"/>
      <c r="D42" t="s" s="189">
        <v>79</v>
      </c>
      <c r="E42" s="190"/>
      <c r="F42" t="s" s="189">
        <v>80</v>
      </c>
      <c r="G42" s="190"/>
      <c r="H42" t="s" s="189">
        <v>81</v>
      </c>
      <c r="I42" s="190"/>
      <c r="J42" t="s" s="242">
        <v>82</v>
      </c>
      <c r="K42" s="173"/>
      <c r="L42" s="186"/>
      <c r="M42" s="186"/>
      <c r="N42" s="186"/>
      <c r="O42" s="186"/>
      <c r="P42" s="186"/>
      <c r="Q42" s="187"/>
      <c r="R42" s="188"/>
      <c r="S42" s="182"/>
    </row>
    <row r="43" ht="19.5" customHeight="1">
      <c r="A43" s="143"/>
      <c r="B43" t="s" s="193">
        <v>83</v>
      </c>
      <c r="C43" s="194"/>
      <c r="D43" t="s" s="193">
        <v>83</v>
      </c>
      <c r="E43" s="194"/>
      <c r="F43" t="s" s="193">
        <v>83</v>
      </c>
      <c r="G43" s="194"/>
      <c r="H43" t="s" s="193">
        <v>83</v>
      </c>
      <c r="I43" s="194"/>
      <c r="J43" t="s" s="195">
        <v>83</v>
      </c>
      <c r="K43" s="192"/>
      <c r="L43" s="186"/>
      <c r="M43" s="186"/>
      <c r="N43" s="186"/>
      <c r="O43" s="186"/>
      <c r="P43" s="186"/>
      <c r="Q43" s="187"/>
      <c r="R43" s="188"/>
      <c r="S43" s="182"/>
    </row>
    <row r="44" ht="19.5" customHeight="1">
      <c r="A44" s="150"/>
      <c r="B44" t="s" s="167">
        <v>113</v>
      </c>
      <c r="C44" s="168"/>
      <c r="D44" s="168"/>
      <c r="E44" s="168"/>
      <c r="F44" s="168"/>
      <c r="G44" s="168"/>
      <c r="H44" s="168"/>
      <c r="I44" s="168"/>
      <c r="J44" s="169"/>
      <c r="K44" s="173"/>
      <c r="L44" s="186"/>
      <c r="M44" s="186"/>
      <c r="N44" s="186"/>
      <c r="O44" s="186"/>
      <c r="P44" s="186"/>
      <c r="Q44" s="187"/>
      <c r="R44" s="188"/>
      <c r="S44" s="182"/>
    </row>
    <row r="45" ht="21" customHeight="1">
      <c r="A45" t="s" s="196">
        <v>85</v>
      </c>
      <c r="B45" t="s" s="197">
        <v>114</v>
      </c>
      <c r="C45" s="198"/>
      <c r="D45" s="198"/>
      <c r="E45" s="198"/>
      <c r="F45" s="198"/>
      <c r="G45" s="198"/>
      <c r="H45" s="198"/>
      <c r="I45" s="198"/>
      <c r="J45" s="199"/>
      <c r="K45" s="49"/>
      <c r="L45" s="200"/>
      <c r="M45" s="200"/>
      <c r="N45" s="200"/>
      <c r="O45" s="200"/>
      <c r="P45" s="200"/>
      <c r="Q45" s="10"/>
      <c r="R45" s="200"/>
      <c r="S45" s="142"/>
    </row>
    <row r="46" ht="19.5" customHeight="1">
      <c r="A46" t="s" s="201">
        <v>115</v>
      </c>
      <c r="B46" s="202"/>
      <c r="C46" s="202"/>
      <c r="D46" s="202"/>
      <c r="E46" s="202"/>
      <c r="F46" s="202"/>
      <c r="G46" s="202"/>
      <c r="H46" s="202"/>
      <c r="I46" s="202"/>
      <c r="J46" s="203"/>
      <c r="K46" s="49"/>
      <c r="L46" s="10"/>
      <c r="M46" s="10"/>
      <c r="N46" s="10"/>
      <c r="O46" s="10"/>
      <c r="P46" s="10"/>
      <c r="Q46" s="10"/>
      <c r="R46" s="10"/>
      <c r="S46" s="13"/>
    </row>
    <row r="47" ht="23.25" customHeight="1">
      <c r="A47" t="s" s="204">
        <v>88</v>
      </c>
      <c r="B47" s="205"/>
      <c r="C47" s="205"/>
      <c r="D47" s="205"/>
      <c r="E47" s="205"/>
      <c r="F47" t="s" s="206">
        <v>89</v>
      </c>
      <c r="G47" s="205"/>
      <c r="H47" s="205"/>
      <c r="I47" s="205"/>
      <c r="J47" s="207"/>
      <c r="K47" s="49"/>
      <c r="L47" s="10"/>
      <c r="M47" s="10"/>
      <c r="N47" s="10"/>
      <c r="O47" s="10"/>
      <c r="P47" s="10"/>
      <c r="Q47" s="10"/>
      <c r="R47" s="10"/>
      <c r="S47" s="161"/>
    </row>
    <row r="48" ht="23.25" customHeight="1">
      <c r="A48" t="s" s="208">
        <v>90</v>
      </c>
      <c r="B48" s="209"/>
      <c r="C48" t="s" s="210">
        <f>A4</f>
        <v>91</v>
      </c>
      <c r="D48" s="209"/>
      <c r="E48" s="209"/>
      <c r="F48" t="s" s="211">
        <v>92</v>
      </c>
      <c r="G48" t="s" s="243">
        <v>116</v>
      </c>
      <c r="H48" s="244"/>
      <c r="I48" s="244"/>
      <c r="J48" s="245"/>
      <c r="K48" s="49"/>
      <c r="L48" s="10"/>
      <c r="M48" s="10"/>
      <c r="N48" s="10"/>
      <c r="O48" s="10"/>
      <c r="P48" s="10"/>
      <c r="Q48" s="10"/>
      <c r="R48" s="10"/>
      <c r="S48" s="13"/>
    </row>
    <row r="49" ht="23.25" customHeight="1">
      <c r="A49" t="s" s="215">
        <v>94</v>
      </c>
      <c r="B49" s="216"/>
      <c r="C49" t="s" s="217">
        <v>95</v>
      </c>
      <c r="D49" s="216"/>
      <c r="E49" s="216"/>
      <c r="F49" t="s" s="246">
        <v>96</v>
      </c>
      <c r="G49" s="216"/>
      <c r="H49" s="216"/>
      <c r="I49" s="216"/>
      <c r="J49" s="247"/>
      <c r="K49" s="49"/>
      <c r="L49" s="10"/>
      <c r="M49" s="10"/>
      <c r="N49" s="10"/>
      <c r="O49" s="10"/>
      <c r="P49" s="10"/>
      <c r="Q49" s="10"/>
      <c r="R49" s="10"/>
      <c r="S49" s="13"/>
    </row>
    <row r="50" ht="23.25" customHeight="1">
      <c r="A50" t="s" s="215">
        <v>98</v>
      </c>
      <c r="B50" s="216"/>
      <c r="C50" s="216"/>
      <c r="D50" s="216"/>
      <c r="E50" s="216"/>
      <c r="F50" t="s" s="217">
        <v>99</v>
      </c>
      <c r="G50" s="216"/>
      <c r="H50" s="216"/>
      <c r="I50" s="216"/>
      <c r="J50" s="247"/>
      <c r="K50" s="49"/>
      <c r="L50" s="10"/>
      <c r="M50" s="10"/>
      <c r="N50" s="10"/>
      <c r="O50" s="10"/>
      <c r="P50" s="10"/>
      <c r="Q50" s="10"/>
      <c r="R50" s="10"/>
      <c r="S50" s="13"/>
    </row>
    <row r="51" ht="23.25" customHeight="1">
      <c r="A51" t="s" s="226">
        <v>101</v>
      </c>
      <c r="B51" s="227"/>
      <c r="C51" t="s" s="248">
        <v>83</v>
      </c>
      <c r="D51" s="249"/>
      <c r="E51" s="249"/>
      <c r="F51" t="s" s="250">
        <v>103</v>
      </c>
      <c r="G51" s="227"/>
      <c r="H51" s="227"/>
      <c r="I51" s="227"/>
      <c r="J51" s="251"/>
      <c r="K51" s="49"/>
      <c r="L51" s="10"/>
      <c r="M51" s="10"/>
      <c r="N51" s="10"/>
      <c r="O51" s="10"/>
      <c r="P51" s="10"/>
      <c r="Q51" s="10"/>
      <c r="R51" s="10"/>
      <c r="S51" s="1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conditionalFormatting sqref="M5:M6 O5:P5 E11 G11 H18:J18 C24:H24 P27 M28 L36:P44">
    <cfRule type="cellIs" dxfId="1" priority="1" operator="lessThan" stopIfTrue="1">
      <formula>0</formula>
    </cfRule>
  </conditionalFormatting>
  <pageMargins left="0.7" right="0.7" top="0.75" bottom="0.75" header="0.3" footer="0.3"/>
  <pageSetup firstPageNumber="1" fitToHeight="1" fitToWidth="1" scale="65" useFirstPageNumber="0" orientation="portrait" pageOrder="downThenOver"/>
  <headerFooter>
    <oddFooter>&amp;C&amp;"Helvetica Neue,Regular"&amp;12&amp;K000000&amp;P</oddFooter>
  </headerFooter>
  <drawing r:id="rId1"/>
  <legacyDrawing r:id="rId2"/>
</worksheet>
</file>

<file path=xl/worksheets/sheet4.xml><?xml version="1.0" encoding="utf-8"?>
<worksheet xmlns:r="http://schemas.openxmlformats.org/officeDocument/2006/relationships" xmlns="http://schemas.openxmlformats.org/spreadsheetml/2006/main">
  <dimension ref="A1:S51"/>
  <sheetViews>
    <sheetView workbookViewId="0" showGridLines="0" defaultGridColor="1"/>
  </sheetViews>
  <sheetFormatPr defaultColWidth="8.83333" defaultRowHeight="16.5" customHeight="1" outlineLevelRow="0" outlineLevelCol="0"/>
  <cols>
    <col min="1" max="1" width="10.3516" style="252" customWidth="1"/>
    <col min="2" max="2" width="12.5" style="252" customWidth="1"/>
    <col min="3" max="3" width="12.3516" style="252" customWidth="1"/>
    <col min="4" max="4" width="11.8516" style="252" customWidth="1"/>
    <col min="5" max="5" width="12.3516" style="252" customWidth="1"/>
    <col min="6" max="6" width="11" style="252" customWidth="1"/>
    <col min="7" max="7" width="15.6719" style="252" customWidth="1"/>
    <col min="8" max="8" width="9" style="252" customWidth="1"/>
    <col min="9" max="9" width="12.3516" style="252" customWidth="1"/>
    <col min="10" max="10" width="11.8516" style="252" customWidth="1"/>
    <col min="11" max="11" width="5.5" style="252" customWidth="1"/>
    <col min="12" max="16" width="11.6719" style="252" customWidth="1"/>
    <col min="17" max="17" width="14.3516" style="252" customWidth="1"/>
    <col min="18" max="18" width="10" style="252" customWidth="1"/>
    <col min="19" max="19" width="13" style="252" customWidth="1"/>
    <col min="20" max="16384" width="8.85156" style="252" customWidth="1"/>
  </cols>
  <sheetData>
    <row r="1" ht="14.25" customHeight="1">
      <c r="A1" t="s" s="7">
        <v>6</v>
      </c>
      <c r="B1" s="8"/>
      <c r="C1" s="8"/>
      <c r="D1" s="8"/>
      <c r="E1" s="8"/>
      <c r="F1" s="9"/>
      <c r="G1" s="9"/>
      <c r="H1" s="9"/>
      <c r="I1" s="9"/>
      <c r="J1" s="9"/>
      <c r="K1" s="10"/>
      <c r="L1" t="s" s="11">
        <v>7</v>
      </c>
      <c r="M1" s="12"/>
      <c r="N1" s="12"/>
      <c r="O1" s="12"/>
      <c r="P1" s="12"/>
      <c r="Q1" s="12"/>
      <c r="R1" s="10"/>
      <c r="S1" s="13"/>
    </row>
    <row r="2" ht="27" customHeight="1">
      <c r="A2" t="s" s="14">
        <v>8</v>
      </c>
      <c r="B2" s="15"/>
      <c r="C2" s="15"/>
      <c r="D2" s="15"/>
      <c r="E2" s="15"/>
      <c r="F2" s="15"/>
      <c r="G2" s="15"/>
      <c r="H2" s="15"/>
      <c r="I2" s="15"/>
      <c r="J2" s="15"/>
      <c r="K2" s="10"/>
      <c r="L2" s="12"/>
      <c r="M2" s="12"/>
      <c r="N2" s="12"/>
      <c r="O2" s="12"/>
      <c r="P2" s="12"/>
      <c r="Q2" s="12"/>
      <c r="R2" s="10"/>
      <c r="S2" s="13"/>
    </row>
    <row r="3" ht="8" customHeight="1">
      <c r="A3" s="16"/>
      <c r="B3" s="16"/>
      <c r="C3" s="16"/>
      <c r="D3" s="16"/>
      <c r="E3" s="16"/>
      <c r="F3" s="16"/>
      <c r="G3" s="16"/>
      <c r="H3" s="16"/>
      <c r="I3" s="16"/>
      <c r="J3" s="16"/>
      <c r="K3" s="17"/>
      <c r="L3" t="s" s="18">
        <v>9</v>
      </c>
      <c r="M3" s="19"/>
      <c r="N3" s="19"/>
      <c r="O3" s="19"/>
      <c r="P3" s="19"/>
      <c r="Q3" s="10"/>
      <c r="R3" s="10"/>
      <c r="S3" s="13"/>
    </row>
    <row r="4" ht="17.25" customHeight="1">
      <c r="A4" t="s" s="20">
        <v>10</v>
      </c>
      <c r="B4" s="21"/>
      <c r="C4" t="s" s="22">
        <v>11</v>
      </c>
      <c r="D4" s="23"/>
      <c r="E4" t="s" s="253">
        <v>118</v>
      </c>
      <c r="F4" t="s" s="22">
        <v>13</v>
      </c>
      <c r="G4" s="25"/>
      <c r="H4" s="25"/>
      <c r="I4" s="25"/>
      <c r="J4" s="26"/>
      <c r="K4" s="27"/>
      <c r="L4" s="19"/>
      <c r="M4" s="19"/>
      <c r="N4" s="19"/>
      <c r="O4" s="19"/>
      <c r="P4" s="19"/>
      <c r="Q4" s="10"/>
      <c r="R4" s="10"/>
      <c r="S4" s="13"/>
    </row>
    <row r="5" ht="15" customHeight="1">
      <c r="A5" t="s" s="28">
        <v>14</v>
      </c>
      <c r="B5" s="29"/>
      <c r="C5" s="30"/>
      <c r="D5" s="30"/>
      <c r="E5" s="29"/>
      <c r="F5" s="30"/>
      <c r="G5" s="30"/>
      <c r="H5" s="30"/>
      <c r="I5" s="30"/>
      <c r="J5" s="31"/>
      <c r="K5" s="27"/>
      <c r="L5" t="s" s="32">
        <v>9</v>
      </c>
      <c r="M5" s="33"/>
      <c r="N5" s="34"/>
      <c r="O5" s="33"/>
      <c r="P5" s="33"/>
      <c r="Q5" s="35"/>
      <c r="R5" s="10"/>
      <c r="S5" s="13"/>
    </row>
    <row r="6" ht="21.75" customHeight="1">
      <c r="A6" t="s" s="36">
        <v>15</v>
      </c>
      <c r="B6" t="s" s="37">
        <v>9</v>
      </c>
      <c r="C6" s="38"/>
      <c r="D6" s="38"/>
      <c r="E6" s="39"/>
      <c r="F6" t="s" s="40">
        <v>17</v>
      </c>
      <c r="G6" s="41"/>
      <c r="H6" s="237"/>
      <c r="I6" s="38"/>
      <c r="J6" s="42"/>
      <c r="K6" s="43"/>
      <c r="L6" t="s" s="44">
        <v>19</v>
      </c>
      <c r="M6" s="45"/>
      <c r="N6" t="s" s="46">
        <v>20</v>
      </c>
      <c r="O6" s="47">
        <v>8</v>
      </c>
      <c r="P6" t="s" s="46">
        <v>21</v>
      </c>
      <c r="Q6" s="48">
        <v>6</v>
      </c>
      <c r="R6" s="49"/>
      <c r="S6" s="13"/>
    </row>
    <row r="7" ht="21.75" customHeight="1">
      <c r="A7" t="s" s="50">
        <v>22</v>
      </c>
      <c r="B7" s="51"/>
      <c r="C7" s="51"/>
      <c r="D7" s="51"/>
      <c r="E7" s="51"/>
      <c r="F7" t="s" s="52">
        <v>23</v>
      </c>
      <c r="G7" s="53"/>
      <c r="H7" t="s" s="238">
        <v>9</v>
      </c>
      <c r="I7" s="51"/>
      <c r="J7" s="54"/>
      <c r="K7" s="49"/>
      <c r="L7" s="55"/>
      <c r="M7" s="55"/>
      <c r="N7" s="55"/>
      <c r="O7" s="55"/>
      <c r="P7" s="55"/>
      <c r="Q7" s="56"/>
      <c r="R7" s="10"/>
      <c r="S7" s="13"/>
    </row>
    <row r="8" ht="18" customHeight="1">
      <c r="A8" t="s" s="57">
        <v>24</v>
      </c>
      <c r="B8" t="s" s="58">
        <v>119</v>
      </c>
      <c r="C8" s="59"/>
      <c r="D8" t="s" s="60">
        <v>120</v>
      </c>
      <c r="E8" s="59"/>
      <c r="F8" t="s" s="61">
        <v>27</v>
      </c>
      <c r="G8" t="s" s="62">
        <v>28</v>
      </c>
      <c r="H8" s="63"/>
      <c r="I8" s="63"/>
      <c r="J8" s="64"/>
      <c r="K8" s="49"/>
      <c r="L8" s="34"/>
      <c r="M8" s="34"/>
      <c r="N8" s="34"/>
      <c r="O8" s="34"/>
      <c r="P8" s="34"/>
      <c r="Q8" s="35"/>
      <c r="R8" s="10"/>
      <c r="S8" s="13"/>
    </row>
    <row r="9" ht="12" customHeight="1">
      <c r="A9" s="65"/>
      <c r="B9" t="s" s="66">
        <v>29</v>
      </c>
      <c r="C9" s="67"/>
      <c r="D9" s="67"/>
      <c r="E9" s="67"/>
      <c r="F9" s="68"/>
      <c r="G9" s="68"/>
      <c r="H9" s="68"/>
      <c r="I9" s="68"/>
      <c r="J9" s="69"/>
      <c r="K9" s="43"/>
      <c r="L9" t="s" s="70">
        <v>30</v>
      </c>
      <c r="M9" t="s" s="71">
        <v>31</v>
      </c>
      <c r="N9" t="s" s="71">
        <v>32</v>
      </c>
      <c r="O9" t="s" s="71">
        <v>33</v>
      </c>
      <c r="P9" t="s" s="71">
        <v>34</v>
      </c>
      <c r="Q9" t="s" s="72">
        <v>35</v>
      </c>
      <c r="R9" s="49"/>
      <c r="S9" s="13"/>
    </row>
    <row r="10" ht="30" customHeight="1">
      <c r="A10" s="73"/>
      <c r="B10" s="74"/>
      <c r="C10" s="75"/>
      <c r="D10" s="75"/>
      <c r="E10" s="75"/>
      <c r="F10" s="75"/>
      <c r="G10" s="75"/>
      <c r="H10" s="75"/>
      <c r="I10" s="75"/>
      <c r="J10" s="76"/>
      <c r="K10" t="s" s="77">
        <v>9</v>
      </c>
      <c r="L10" t="s" s="78">
        <v>36</v>
      </c>
      <c r="M10" s="79">
        <v>48</v>
      </c>
      <c r="N10" s="80">
        <v>1</v>
      </c>
      <c r="O10" s="81">
        <v>4.34</v>
      </c>
      <c r="P10" s="82">
        <f>M10*O10</f>
        <v>208.32</v>
      </c>
      <c r="Q10" s="83">
        <f>P10/P15</f>
        <v>0.673425054308472</v>
      </c>
      <c r="R10" s="49"/>
      <c r="S10" s="13"/>
    </row>
    <row r="11" ht="19.5" customHeight="1">
      <c r="A11" t="s" s="57">
        <v>37</v>
      </c>
      <c r="B11" t="s" s="84">
        <v>38</v>
      </c>
      <c r="C11" s="85"/>
      <c r="D11" s="86"/>
      <c r="E11" s="87">
        <f>D24</f>
        <v>73280.0000000001</v>
      </c>
      <c r="F11" t="s" s="88">
        <v>39</v>
      </c>
      <c r="G11" s="89">
        <f>E11/8</f>
        <v>9160.000000000009</v>
      </c>
      <c r="H11" t="s" s="90">
        <v>40</v>
      </c>
      <c r="I11" s="91"/>
      <c r="J11" s="92"/>
      <c r="K11" s="43"/>
      <c r="L11" t="s" s="78">
        <v>41</v>
      </c>
      <c r="M11" s="79">
        <v>9.6</v>
      </c>
      <c r="N11" s="80">
        <v>1</v>
      </c>
      <c r="O11" s="81">
        <v>4.34</v>
      </c>
      <c r="P11" s="82">
        <f>M11*O11</f>
        <v>41.664</v>
      </c>
      <c r="Q11" s="83">
        <f>P11/P15</f>
        <v>0.134685010861694</v>
      </c>
      <c r="R11" s="49"/>
      <c r="S11" s="13"/>
    </row>
    <row r="12" ht="17.25" customHeight="1">
      <c r="A12" s="65"/>
      <c r="B12" t="s" s="93">
        <v>42</v>
      </c>
      <c r="C12" s="94"/>
      <c r="D12" s="94"/>
      <c r="E12" s="95"/>
      <c r="F12" s="94"/>
      <c r="G12" s="95"/>
      <c r="H12" s="94"/>
      <c r="I12" s="94"/>
      <c r="J12" s="96"/>
      <c r="K12" s="43"/>
      <c r="L12" t="s" s="78">
        <v>43</v>
      </c>
      <c r="M12" s="79">
        <v>12</v>
      </c>
      <c r="N12" s="80">
        <v>1</v>
      </c>
      <c r="O12" s="81">
        <v>2</v>
      </c>
      <c r="P12" s="82">
        <f>M12*N12*O12</f>
        <v>24</v>
      </c>
      <c r="Q12" s="83">
        <f>P12/P15</f>
        <v>0.07758353160235849</v>
      </c>
      <c r="R12" s="98"/>
      <c r="S12" s="99"/>
    </row>
    <row r="13" ht="17.25" customHeight="1">
      <c r="A13" s="65"/>
      <c r="B13" s="100"/>
      <c r="C13" s="94"/>
      <c r="D13" s="94"/>
      <c r="E13" s="94"/>
      <c r="F13" s="94"/>
      <c r="G13" s="94"/>
      <c r="H13" s="94"/>
      <c r="I13" s="94"/>
      <c r="J13" s="96"/>
      <c r="K13" s="43"/>
      <c r="L13" t="s" s="78">
        <v>44</v>
      </c>
      <c r="M13" s="79">
        <v>8</v>
      </c>
      <c r="N13" s="80">
        <v>0.5</v>
      </c>
      <c r="O13" s="81">
        <v>4.34</v>
      </c>
      <c r="P13" s="82">
        <f>M13*N13*O13</f>
        <v>17.36</v>
      </c>
      <c r="Q13" s="101">
        <f>P13/P15</f>
        <v>0.056118754525706</v>
      </c>
      <c r="R13" s="49"/>
      <c r="S13" s="13"/>
    </row>
    <row r="14" ht="17.25" customHeight="1">
      <c r="A14" s="65"/>
      <c r="B14" s="100"/>
      <c r="C14" s="94"/>
      <c r="D14" s="94"/>
      <c r="E14" s="94"/>
      <c r="F14" s="94"/>
      <c r="G14" s="94"/>
      <c r="H14" s="94"/>
      <c r="I14" s="94"/>
      <c r="J14" s="96"/>
      <c r="K14" s="43"/>
      <c r="L14" t="s" s="78">
        <v>45</v>
      </c>
      <c r="M14" s="81">
        <v>0</v>
      </c>
      <c r="N14" s="80"/>
      <c r="O14" s="81">
        <v>0</v>
      </c>
      <c r="P14" s="82">
        <v>18</v>
      </c>
      <c r="Q14" s="101">
        <f>P14/P15</f>
        <v>0.0581876487017689</v>
      </c>
      <c r="R14" s="49"/>
      <c r="S14" s="13"/>
    </row>
    <row r="15" ht="13.5" customHeight="1">
      <c r="A15" s="65"/>
      <c r="B15" t="s" s="102">
        <v>46</v>
      </c>
      <c r="C15" s="68"/>
      <c r="D15" s="68"/>
      <c r="E15" s="68"/>
      <c r="F15" s="68"/>
      <c r="G15" s="68"/>
      <c r="H15" s="68"/>
      <c r="I15" s="68"/>
      <c r="J15" s="69"/>
      <c r="K15" s="43"/>
      <c r="L15" t="s" s="103">
        <v>47</v>
      </c>
      <c r="M15" s="104"/>
      <c r="N15" s="104"/>
      <c r="O15" s="105">
        <v>0</v>
      </c>
      <c r="P15" s="106">
        <f>SUM(P10:P14)</f>
        <v>309.344</v>
      </c>
      <c r="Q15" s="107">
        <f>SUM(Q10:Q14)</f>
        <v>0.999999999999999</v>
      </c>
      <c r="R15" s="49"/>
      <c r="S15" s="13"/>
    </row>
    <row r="16" ht="13.5" customHeight="1">
      <c r="A16" s="65"/>
      <c r="B16" s="108"/>
      <c r="C16" s="68"/>
      <c r="D16" s="68"/>
      <c r="E16" s="68"/>
      <c r="F16" s="68"/>
      <c r="G16" s="68"/>
      <c r="H16" s="68"/>
      <c r="I16" s="68"/>
      <c r="J16" s="69"/>
      <c r="K16" s="49"/>
      <c r="L16" s="56"/>
      <c r="M16" s="56"/>
      <c r="N16" s="56"/>
      <c r="O16" s="56"/>
      <c r="P16" s="56"/>
      <c r="Q16" s="56"/>
      <c r="R16" s="10"/>
      <c r="S16" s="13"/>
    </row>
    <row r="17" ht="21" customHeight="1">
      <c r="A17" s="65"/>
      <c r="B17" t="s" s="102">
        <v>48</v>
      </c>
      <c r="C17" s="68"/>
      <c r="D17" s="68"/>
      <c r="E17" s="68"/>
      <c r="F17" s="68"/>
      <c r="G17" s="109"/>
      <c r="H17" s="109"/>
      <c r="I17" s="109"/>
      <c r="J17" s="110"/>
      <c r="K17" s="49"/>
      <c r="L17" s="111"/>
      <c r="M17" s="112"/>
      <c r="N17" t="s" s="113">
        <v>49</v>
      </c>
      <c r="O17" s="114"/>
      <c r="P17" s="114"/>
      <c r="Q17" s="115">
        <v>9620</v>
      </c>
      <c r="R17" s="10"/>
      <c r="S17" s="13"/>
    </row>
    <row r="18" ht="15.75" customHeight="1">
      <c r="A18" s="65"/>
      <c r="B18" t="s" s="116">
        <v>108</v>
      </c>
      <c r="C18" s="117"/>
      <c r="D18" s="117"/>
      <c r="E18" s="117"/>
      <c r="F18" s="118"/>
      <c r="G18" s="119">
        <v>108816.860215054</v>
      </c>
      <c r="H18" t="s" s="120">
        <v>51</v>
      </c>
      <c r="I18" s="121"/>
      <c r="J18" s="122"/>
      <c r="K18" s="49"/>
      <c r="L18" s="111"/>
      <c r="M18" s="112"/>
      <c r="N18" s="10"/>
      <c r="O18" s="10"/>
      <c r="P18" s="123"/>
      <c r="Q18" s="10"/>
      <c r="R18" s="10"/>
      <c r="S18" s="13"/>
    </row>
    <row r="19" ht="15.75" customHeight="1">
      <c r="A19" s="65"/>
      <c r="B19" t="s" s="124">
        <v>121</v>
      </c>
      <c r="C19" s="125"/>
      <c r="D19" s="125"/>
      <c r="E19" s="125"/>
      <c r="F19" s="125"/>
      <c r="G19" s="126"/>
      <c r="H19" s="126"/>
      <c r="I19" s="126"/>
      <c r="J19" s="127"/>
      <c r="K19" s="49"/>
      <c r="L19" t="s" s="128">
        <v>53</v>
      </c>
      <c r="M19" s="129"/>
      <c r="N19" s="129"/>
      <c r="O19" s="129"/>
      <c r="P19" s="129"/>
      <c r="Q19" s="130"/>
      <c r="R19" s="10"/>
      <c r="S19" s="13"/>
    </row>
    <row r="20" ht="15.75" customHeight="1">
      <c r="A20" s="65"/>
      <c r="B20" t="s" s="124">
        <v>54</v>
      </c>
      <c r="C20" s="125"/>
      <c r="D20" s="125"/>
      <c r="E20" s="125"/>
      <c r="F20" s="125"/>
      <c r="G20" s="125"/>
      <c r="H20" s="125"/>
      <c r="I20" s="125"/>
      <c r="J20" s="131"/>
      <c r="K20" s="49"/>
      <c r="L20" s="129"/>
      <c r="M20" s="129"/>
      <c r="N20" s="129"/>
      <c r="O20" s="129"/>
      <c r="P20" s="129"/>
      <c r="Q20" s="130"/>
      <c r="R20" s="10"/>
      <c r="S20" s="13"/>
    </row>
    <row r="21" ht="15.75" customHeight="1">
      <c r="A21" s="73"/>
      <c r="B21" t="s" s="132">
        <v>122</v>
      </c>
      <c r="C21" s="133"/>
      <c r="D21" s="133"/>
      <c r="E21" s="133"/>
      <c r="F21" s="133"/>
      <c r="G21" s="133"/>
      <c r="H21" s="133"/>
      <c r="I21" s="133"/>
      <c r="J21" s="134"/>
      <c r="K21" s="49"/>
      <c r="L21" s="129"/>
      <c r="M21" s="129"/>
      <c r="N21" s="129"/>
      <c r="O21" s="129"/>
      <c r="P21" s="129"/>
      <c r="Q21" s="130"/>
      <c r="R21" s="10"/>
      <c r="S21" s="13"/>
    </row>
    <row r="22" ht="18.75" customHeight="1">
      <c r="A22" t="s" s="135">
        <v>58</v>
      </c>
      <c r="B22" t="s" s="136">
        <v>59</v>
      </c>
      <c r="C22" s="137"/>
      <c r="D22" t="s" s="138">
        <v>36</v>
      </c>
      <c r="E22" t="s" s="138">
        <v>60</v>
      </c>
      <c r="F22" t="s" s="138">
        <v>43</v>
      </c>
      <c r="G22" t="s" s="139">
        <v>61</v>
      </c>
      <c r="H22" s="140"/>
      <c r="I22" t="s" s="139">
        <v>45</v>
      </c>
      <c r="J22" s="141"/>
      <c r="K22" s="49"/>
      <c r="L22" t="s" s="128">
        <v>55</v>
      </c>
      <c r="M22" s="129"/>
      <c r="N22" s="129"/>
      <c r="O22" s="129"/>
      <c r="P22" s="129"/>
      <c r="Q22" s="130"/>
      <c r="R22" s="129"/>
      <c r="S22" s="142"/>
    </row>
    <row r="23" ht="18.75" customHeight="1">
      <c r="A23" s="143"/>
      <c r="B23" t="s" s="144">
        <v>63</v>
      </c>
      <c r="C23" s="145"/>
      <c r="D23" s="146">
        <f>Q10</f>
        <v>0.673425054308472</v>
      </c>
      <c r="E23" s="146">
        <f>Q11</f>
        <v>0.134685010861694</v>
      </c>
      <c r="F23" s="146">
        <f>Q12</f>
        <v>0.07758353160235849</v>
      </c>
      <c r="G23" s="147">
        <f>Q13</f>
        <v>0.056118754525706</v>
      </c>
      <c r="H23" s="148"/>
      <c r="I23" s="147">
        <f>Q14</f>
        <v>0.0581876487017689</v>
      </c>
      <c r="J23" s="149"/>
      <c r="K23" s="49"/>
      <c r="L23" t="s" s="128">
        <v>57</v>
      </c>
      <c r="M23" s="129"/>
      <c r="N23" s="129"/>
      <c r="O23" s="129"/>
      <c r="P23" s="129"/>
      <c r="Q23" s="129"/>
      <c r="R23" s="129"/>
      <c r="S23" s="142"/>
    </row>
    <row r="24" ht="18.75" customHeight="1">
      <c r="A24" s="150"/>
      <c r="B24" t="s" s="151">
        <v>64</v>
      </c>
      <c r="C24" s="152">
        <f>G11</f>
        <v>9160.000000000009</v>
      </c>
      <c r="D24" s="153">
        <f>G18*$D$23</f>
        <v>73280.0000000001</v>
      </c>
      <c r="E24" s="153">
        <f>G18*$E$23</f>
        <v>14656</v>
      </c>
      <c r="F24" s="153">
        <f>G18*$F$23</f>
        <v>8442.396313364070</v>
      </c>
      <c r="G24" s="154">
        <f>G18*$G$23</f>
        <v>6106.666666666680</v>
      </c>
      <c r="H24" s="155"/>
      <c r="I24" s="156">
        <f>G18*$I$23</f>
        <v>6331.797235023050</v>
      </c>
      <c r="J24" s="157"/>
      <c r="K24" s="49"/>
      <c r="L24" t="s" s="128">
        <v>62</v>
      </c>
      <c r="M24" s="129"/>
      <c r="N24" s="129"/>
      <c r="O24" s="129"/>
      <c r="P24" s="129"/>
      <c r="Q24" s="129"/>
      <c r="R24" s="129"/>
      <c r="S24" s="142"/>
    </row>
    <row r="25" ht="54.75" customHeight="1">
      <c r="A25" t="s" s="135">
        <v>65</v>
      </c>
      <c r="B25" t="s" s="158">
        <v>123</v>
      </c>
      <c r="C25" s="159"/>
      <c r="D25" s="159"/>
      <c r="E25" s="159"/>
      <c r="F25" s="159"/>
      <c r="G25" s="159"/>
      <c r="H25" s="159"/>
      <c r="I25" s="159"/>
      <c r="J25" s="160"/>
      <c r="K25" s="49"/>
      <c r="L25" t="s" s="128">
        <v>9</v>
      </c>
      <c r="M25" s="129"/>
      <c r="N25" s="129"/>
      <c r="O25" s="129"/>
      <c r="P25" s="129"/>
      <c r="Q25" s="130"/>
      <c r="R25" s="10"/>
      <c r="S25" s="142"/>
    </row>
    <row r="26" ht="66.75" customHeight="1">
      <c r="A26" s="73"/>
      <c r="B26" s="74"/>
      <c r="C26" s="75"/>
      <c r="D26" s="75"/>
      <c r="E26" s="75"/>
      <c r="F26" s="75"/>
      <c r="G26" s="75"/>
      <c r="H26" s="75"/>
      <c r="I26" s="75"/>
      <c r="J26" s="76"/>
      <c r="K26" s="49"/>
      <c r="L26" t="s" s="128">
        <v>9</v>
      </c>
      <c r="M26" s="129"/>
      <c r="N26" s="129"/>
      <c r="O26" s="129"/>
      <c r="P26" s="129"/>
      <c r="Q26" s="130"/>
      <c r="R26" s="10"/>
      <c r="S26" s="142"/>
    </row>
    <row r="27" ht="27.75" customHeight="1">
      <c r="A27" t="s" s="57">
        <v>67</v>
      </c>
      <c r="B27" t="s" s="158">
        <v>68</v>
      </c>
      <c r="C27" s="159"/>
      <c r="D27" s="159"/>
      <c r="E27" s="159"/>
      <c r="F27" s="159"/>
      <c r="G27" s="159"/>
      <c r="H27" s="159"/>
      <c r="I27" s="159"/>
      <c r="J27" s="160"/>
      <c r="K27" s="49"/>
      <c r="L27" s="161">
        <f>C24*8</f>
        <v>73280.0000000001</v>
      </c>
      <c r="M27" s="162">
        <f>E24*5</f>
        <v>73280</v>
      </c>
      <c r="N27" s="129"/>
      <c r="O27" s="162"/>
      <c r="P27" s="163"/>
      <c r="Q27" s="162"/>
      <c r="R27" s="164"/>
      <c r="S27" s="165"/>
    </row>
    <row r="28" ht="27.75" customHeight="1">
      <c r="A28" s="73"/>
      <c r="B28" s="74"/>
      <c r="C28" s="75"/>
      <c r="D28" s="75"/>
      <c r="E28" s="75"/>
      <c r="F28" s="75"/>
      <c r="G28" s="75"/>
      <c r="H28" s="75"/>
      <c r="I28" s="75"/>
      <c r="J28" s="76"/>
      <c r="K28" s="49"/>
      <c r="L28" s="161"/>
      <c r="M28" s="163"/>
      <c r="N28" s="10"/>
      <c r="O28" s="10"/>
      <c r="P28" s="10"/>
      <c r="Q28" s="10"/>
      <c r="R28" s="164"/>
      <c r="S28" s="165"/>
    </row>
    <row r="29" ht="40.5" customHeight="1">
      <c r="A29" t="s" s="166">
        <v>69</v>
      </c>
      <c r="B29" t="s" s="167">
        <v>70</v>
      </c>
      <c r="C29" s="168"/>
      <c r="D29" s="168"/>
      <c r="E29" s="168"/>
      <c r="F29" s="168"/>
      <c r="G29" s="168"/>
      <c r="H29" s="168"/>
      <c r="I29" s="168"/>
      <c r="J29" s="169"/>
      <c r="K29" s="49"/>
      <c r="L29" t="s" s="170">
        <v>71</v>
      </c>
      <c r="M29" s="171"/>
      <c r="N29" s="171"/>
      <c r="O29" s="171"/>
      <c r="P29" s="171"/>
      <c r="Q29" s="171"/>
      <c r="R29" s="164"/>
      <c r="S29" s="165"/>
    </row>
    <row r="30" ht="23.25" customHeight="1">
      <c r="A30" t="s" s="135">
        <v>72</v>
      </c>
      <c r="B30" t="s" s="158">
        <v>73</v>
      </c>
      <c r="C30" s="159"/>
      <c r="D30" s="159"/>
      <c r="E30" s="159"/>
      <c r="F30" s="159"/>
      <c r="G30" s="159"/>
      <c r="H30" s="159"/>
      <c r="I30" s="159"/>
      <c r="J30" s="160"/>
      <c r="K30" s="49"/>
      <c r="L30" s="171"/>
      <c r="M30" s="171"/>
      <c r="N30" s="171"/>
      <c r="O30" s="171"/>
      <c r="P30" s="171"/>
      <c r="Q30" s="171"/>
      <c r="R30" s="164"/>
      <c r="S30" s="164"/>
    </row>
    <row r="31" ht="23.25" customHeight="1">
      <c r="A31" s="143"/>
      <c r="B31" s="108"/>
      <c r="C31" s="68"/>
      <c r="D31" s="68"/>
      <c r="E31" s="68"/>
      <c r="F31" s="68"/>
      <c r="G31" s="68"/>
      <c r="H31" s="68"/>
      <c r="I31" s="68"/>
      <c r="J31" s="69"/>
      <c r="K31" s="49"/>
      <c r="L31" s="171"/>
      <c r="M31" s="171"/>
      <c r="N31" s="171"/>
      <c r="O31" s="171"/>
      <c r="P31" s="171"/>
      <c r="Q31" s="171"/>
      <c r="R31" s="10"/>
      <c r="S31" s="142"/>
    </row>
    <row r="32" ht="23.25" customHeight="1">
      <c r="A32" s="143"/>
      <c r="B32" s="108"/>
      <c r="C32" s="68"/>
      <c r="D32" s="68"/>
      <c r="E32" s="68"/>
      <c r="F32" s="68"/>
      <c r="G32" s="68"/>
      <c r="H32" s="68"/>
      <c r="I32" s="68"/>
      <c r="J32" s="69"/>
      <c r="K32" s="49"/>
      <c r="L32" s="171"/>
      <c r="M32" s="171"/>
      <c r="N32" s="171"/>
      <c r="O32" s="171"/>
      <c r="P32" s="171"/>
      <c r="Q32" s="171"/>
      <c r="R32" s="10"/>
      <c r="S32" s="142"/>
    </row>
    <row r="33" ht="23.25" customHeight="1">
      <c r="A33" s="143"/>
      <c r="B33" s="108"/>
      <c r="C33" s="68"/>
      <c r="D33" s="68"/>
      <c r="E33" s="68"/>
      <c r="F33" s="68"/>
      <c r="G33" s="68"/>
      <c r="H33" s="68"/>
      <c r="I33" s="68"/>
      <c r="J33" s="69"/>
      <c r="K33" s="49"/>
      <c r="L33" s="172"/>
      <c r="M33" s="172"/>
      <c r="N33" s="172"/>
      <c r="O33" s="172"/>
      <c r="P33" s="172"/>
      <c r="Q33" s="10"/>
      <c r="R33" s="10"/>
      <c r="S33" s="142"/>
    </row>
    <row r="34" ht="23.25" customHeight="1">
      <c r="A34" s="143"/>
      <c r="B34" s="108"/>
      <c r="C34" s="68"/>
      <c r="D34" s="68"/>
      <c r="E34" s="68"/>
      <c r="F34" s="68"/>
      <c r="G34" s="68"/>
      <c r="H34" s="68"/>
      <c r="I34" s="68"/>
      <c r="J34" s="69"/>
      <c r="K34" s="173"/>
      <c r="L34" s="174"/>
      <c r="M34" s="174"/>
      <c r="N34" s="174"/>
      <c r="O34" s="174"/>
      <c r="P34" s="174"/>
      <c r="Q34" s="175"/>
      <c r="R34" s="10"/>
      <c r="S34" s="142"/>
    </row>
    <row r="35" ht="28.5" customHeight="1">
      <c r="A35" s="150"/>
      <c r="B35" s="74"/>
      <c r="C35" s="75"/>
      <c r="D35" s="75"/>
      <c r="E35" s="75"/>
      <c r="F35" s="75"/>
      <c r="G35" s="75"/>
      <c r="H35" s="75"/>
      <c r="I35" s="75"/>
      <c r="J35" s="76"/>
      <c r="K35" s="173"/>
      <c r="L35" s="176"/>
      <c r="M35" s="176"/>
      <c r="N35" s="176"/>
      <c r="O35" s="176"/>
      <c r="P35" s="176"/>
      <c r="Q35" s="177"/>
      <c r="R35" s="178"/>
      <c r="S35" s="142"/>
    </row>
    <row r="36" ht="21" customHeight="1">
      <c r="A36" t="s" s="135">
        <v>74</v>
      </c>
      <c r="B36" t="s" s="158">
        <v>124</v>
      </c>
      <c r="C36" s="159"/>
      <c r="D36" s="159"/>
      <c r="E36" s="159"/>
      <c r="F36" s="159"/>
      <c r="G36" s="159"/>
      <c r="H36" s="159"/>
      <c r="I36" s="159"/>
      <c r="J36" s="160"/>
      <c r="K36" s="173"/>
      <c r="L36" s="179"/>
      <c r="M36" s="179"/>
      <c r="N36" s="179"/>
      <c r="O36" s="179"/>
      <c r="P36" s="179"/>
      <c r="Q36" s="180"/>
      <c r="R36" s="181"/>
      <c r="S36" s="182"/>
    </row>
    <row r="37" ht="19.5" customHeight="1">
      <c r="A37" s="143"/>
      <c r="B37" s="108"/>
      <c r="C37" s="68"/>
      <c r="D37" s="68"/>
      <c r="E37" s="68"/>
      <c r="F37" s="68"/>
      <c r="G37" s="68"/>
      <c r="H37" s="68"/>
      <c r="I37" s="68"/>
      <c r="J37" s="69"/>
      <c r="K37" s="173"/>
      <c r="L37" s="183"/>
      <c r="M37" s="183"/>
      <c r="N37" s="183"/>
      <c r="O37" s="183"/>
      <c r="P37" s="183"/>
      <c r="Q37" s="184"/>
      <c r="R37" s="185"/>
      <c r="S37" s="182"/>
    </row>
    <row r="38" ht="19.5" customHeight="1">
      <c r="A38" s="143"/>
      <c r="B38" s="108"/>
      <c r="C38" s="68"/>
      <c r="D38" s="68"/>
      <c r="E38" s="68"/>
      <c r="F38" s="68"/>
      <c r="G38" s="68"/>
      <c r="H38" s="68"/>
      <c r="I38" s="68"/>
      <c r="J38" s="69"/>
      <c r="K38" s="173"/>
      <c r="L38" s="186"/>
      <c r="M38" s="186"/>
      <c r="N38" s="186"/>
      <c r="O38" s="186"/>
      <c r="P38" s="186"/>
      <c r="Q38" s="187"/>
      <c r="R38" s="188"/>
      <c r="S38" s="182"/>
    </row>
    <row r="39" ht="19.5" customHeight="1">
      <c r="A39" s="143"/>
      <c r="B39" s="108"/>
      <c r="C39" s="68"/>
      <c r="D39" s="68"/>
      <c r="E39" s="68"/>
      <c r="F39" s="68"/>
      <c r="G39" s="68"/>
      <c r="H39" s="68"/>
      <c r="I39" s="68"/>
      <c r="J39" s="69"/>
      <c r="K39" s="173"/>
      <c r="L39" s="186"/>
      <c r="M39" s="186"/>
      <c r="N39" s="186"/>
      <c r="O39" s="186"/>
      <c r="P39" s="186"/>
      <c r="Q39" s="187"/>
      <c r="R39" s="188"/>
      <c r="S39" s="182"/>
    </row>
    <row r="40" ht="19.5" customHeight="1">
      <c r="A40" s="150"/>
      <c r="B40" s="74"/>
      <c r="C40" s="75"/>
      <c r="D40" s="75"/>
      <c r="E40" s="75"/>
      <c r="F40" s="75"/>
      <c r="G40" s="75"/>
      <c r="H40" s="75"/>
      <c r="I40" s="75"/>
      <c r="J40" s="76"/>
      <c r="K40" s="173"/>
      <c r="L40" s="186"/>
      <c r="M40" s="186"/>
      <c r="N40" s="186"/>
      <c r="O40" s="186"/>
      <c r="P40" s="186"/>
      <c r="Q40" s="187"/>
      <c r="R40" s="188"/>
      <c r="S40" s="182"/>
    </row>
    <row r="41" ht="17.1" customHeight="1">
      <c r="A41" t="s" s="135">
        <v>76</v>
      </c>
      <c r="B41" t="s" s="167">
        <v>77</v>
      </c>
      <c r="C41" s="168"/>
      <c r="D41" s="168"/>
      <c r="E41" s="168"/>
      <c r="F41" s="168"/>
      <c r="G41" s="168"/>
      <c r="H41" s="168"/>
      <c r="I41" s="168"/>
      <c r="J41" s="169"/>
      <c r="K41" s="173"/>
      <c r="L41" s="186"/>
      <c r="M41" s="186"/>
      <c r="N41" s="186"/>
      <c r="O41" s="186"/>
      <c r="P41" s="186"/>
      <c r="Q41" s="187"/>
      <c r="R41" s="188"/>
      <c r="S41" s="182"/>
    </row>
    <row r="42" ht="19.5" customHeight="1">
      <c r="A42" s="143"/>
      <c r="B42" t="s" s="189">
        <v>78</v>
      </c>
      <c r="C42" s="190"/>
      <c r="D42" t="s" s="189">
        <v>79</v>
      </c>
      <c r="E42" s="190"/>
      <c r="F42" t="s" s="189">
        <v>80</v>
      </c>
      <c r="G42" s="190"/>
      <c r="H42" t="s" s="189">
        <v>81</v>
      </c>
      <c r="I42" s="190"/>
      <c r="J42" t="s" s="191">
        <v>82</v>
      </c>
      <c r="K42" s="192"/>
      <c r="L42" s="186"/>
      <c r="M42" s="186"/>
      <c r="N42" s="186"/>
      <c r="O42" s="186"/>
      <c r="P42" s="186"/>
      <c r="Q42" s="187"/>
      <c r="R42" s="188"/>
      <c r="S42" s="182"/>
    </row>
    <row r="43" ht="19.5" customHeight="1">
      <c r="A43" s="143"/>
      <c r="B43" t="s" s="193">
        <v>83</v>
      </c>
      <c r="C43" s="194"/>
      <c r="D43" t="s" s="193">
        <v>83</v>
      </c>
      <c r="E43" s="194"/>
      <c r="F43" t="s" s="193">
        <v>83</v>
      </c>
      <c r="G43" s="194"/>
      <c r="H43" t="s" s="193">
        <v>83</v>
      </c>
      <c r="I43" s="194"/>
      <c r="J43" t="s" s="195">
        <v>83</v>
      </c>
      <c r="K43" s="192"/>
      <c r="L43" s="186"/>
      <c r="M43" s="186"/>
      <c r="N43" s="186"/>
      <c r="O43" s="186"/>
      <c r="P43" s="186"/>
      <c r="Q43" s="187"/>
      <c r="R43" s="188"/>
      <c r="S43" s="182"/>
    </row>
    <row r="44" ht="19.5" customHeight="1">
      <c r="A44" s="150"/>
      <c r="B44" t="s" s="167">
        <v>125</v>
      </c>
      <c r="C44" s="168"/>
      <c r="D44" s="168"/>
      <c r="E44" s="168"/>
      <c r="F44" s="168"/>
      <c r="G44" s="168"/>
      <c r="H44" s="168"/>
      <c r="I44" s="168"/>
      <c r="J44" s="169"/>
      <c r="K44" s="173"/>
      <c r="L44" s="186"/>
      <c r="M44" s="186"/>
      <c r="N44" s="186"/>
      <c r="O44" s="186"/>
      <c r="P44" s="186"/>
      <c r="Q44" s="187"/>
      <c r="R44" s="188"/>
      <c r="S44" s="182"/>
    </row>
    <row r="45" ht="21" customHeight="1">
      <c r="A45" t="s" s="196">
        <v>85</v>
      </c>
      <c r="B45" t="s" s="197">
        <v>126</v>
      </c>
      <c r="C45" s="198"/>
      <c r="D45" s="198"/>
      <c r="E45" s="198"/>
      <c r="F45" s="198"/>
      <c r="G45" s="198"/>
      <c r="H45" s="198"/>
      <c r="I45" s="198"/>
      <c r="J45" s="199"/>
      <c r="K45" s="49"/>
      <c r="L45" s="200"/>
      <c r="M45" s="200"/>
      <c r="N45" s="200"/>
      <c r="O45" s="200"/>
      <c r="P45" s="200"/>
      <c r="Q45" s="10"/>
      <c r="R45" s="200"/>
      <c r="S45" s="142"/>
    </row>
    <row r="46" ht="19.5" customHeight="1">
      <c r="A46" t="s" s="201">
        <v>127</v>
      </c>
      <c r="B46" s="202"/>
      <c r="C46" s="202"/>
      <c r="D46" s="202"/>
      <c r="E46" s="202"/>
      <c r="F46" s="202"/>
      <c r="G46" s="202"/>
      <c r="H46" s="202"/>
      <c r="I46" s="202"/>
      <c r="J46" s="203"/>
      <c r="K46" s="49"/>
      <c r="L46" s="10"/>
      <c r="M46" s="10"/>
      <c r="N46" s="10"/>
      <c r="O46" s="10"/>
      <c r="P46" s="10"/>
      <c r="Q46" s="10"/>
      <c r="R46" s="10"/>
      <c r="S46" s="13"/>
    </row>
    <row r="47" ht="23.25" customHeight="1">
      <c r="A47" t="s" s="204">
        <v>88</v>
      </c>
      <c r="B47" s="205"/>
      <c r="C47" s="205"/>
      <c r="D47" s="205"/>
      <c r="E47" s="205"/>
      <c r="F47" t="s" s="206">
        <v>89</v>
      </c>
      <c r="G47" s="205"/>
      <c r="H47" s="205"/>
      <c r="I47" s="205"/>
      <c r="J47" s="207"/>
      <c r="K47" s="49"/>
      <c r="L47" s="10"/>
      <c r="M47" s="10"/>
      <c r="N47" s="10"/>
      <c r="O47" s="10"/>
      <c r="P47" s="10"/>
      <c r="Q47" s="10"/>
      <c r="R47" s="10"/>
      <c r="S47" s="161"/>
    </row>
    <row r="48" ht="23.25" customHeight="1">
      <c r="A48" t="s" s="208">
        <v>90</v>
      </c>
      <c r="B48" s="209"/>
      <c r="C48" t="s" s="210">
        <f>A4</f>
        <v>91</v>
      </c>
      <c r="D48" s="209"/>
      <c r="E48" s="209"/>
      <c r="F48" t="s" s="211">
        <v>92</v>
      </c>
      <c r="G48" t="s" s="243">
        <v>128</v>
      </c>
      <c r="H48" s="244"/>
      <c r="I48" s="244"/>
      <c r="J48" s="245"/>
      <c r="K48" s="49"/>
      <c r="L48" s="10"/>
      <c r="M48" s="10"/>
      <c r="N48" s="10"/>
      <c r="O48" s="10"/>
      <c r="P48" s="10"/>
      <c r="Q48" s="10"/>
      <c r="R48" s="10"/>
      <c r="S48" s="13"/>
    </row>
    <row r="49" ht="23.25" customHeight="1">
      <c r="A49" t="s" s="215">
        <v>94</v>
      </c>
      <c r="B49" s="216"/>
      <c r="C49" t="s" s="217">
        <v>95</v>
      </c>
      <c r="D49" s="216"/>
      <c r="E49" s="216"/>
      <c r="F49" t="s" s="246">
        <v>96</v>
      </c>
      <c r="G49" s="254"/>
      <c r="H49" s="254"/>
      <c r="I49" s="254"/>
      <c r="J49" s="255"/>
      <c r="K49" s="49"/>
      <c r="L49" s="10"/>
      <c r="M49" s="10"/>
      <c r="N49" s="10"/>
      <c r="O49" s="10"/>
      <c r="P49" s="10"/>
      <c r="Q49" s="10"/>
      <c r="R49" s="10"/>
      <c r="S49" s="13"/>
    </row>
    <row r="50" ht="23.25" customHeight="1">
      <c r="A50" t="s" s="215">
        <v>98</v>
      </c>
      <c r="B50" s="216"/>
      <c r="C50" s="216"/>
      <c r="D50" s="216"/>
      <c r="E50" s="216"/>
      <c r="F50" t="s" s="217">
        <v>99</v>
      </c>
      <c r="G50" s="254"/>
      <c r="H50" s="254"/>
      <c r="I50" s="254"/>
      <c r="J50" s="255"/>
      <c r="K50" s="49"/>
      <c r="L50" s="10"/>
      <c r="M50" s="10"/>
      <c r="N50" s="10"/>
      <c r="O50" s="10"/>
      <c r="P50" s="10"/>
      <c r="Q50" s="10"/>
      <c r="R50" s="10"/>
      <c r="S50" s="13"/>
    </row>
    <row r="51" ht="23.25" customHeight="1">
      <c r="A51" t="s" s="226">
        <v>101</v>
      </c>
      <c r="B51" s="227"/>
      <c r="C51" t="s" s="248">
        <v>83</v>
      </c>
      <c r="D51" s="249"/>
      <c r="E51" s="249"/>
      <c r="F51" t="s" s="250">
        <v>103</v>
      </c>
      <c r="G51" s="256"/>
      <c r="H51" s="256"/>
      <c r="I51" s="256"/>
      <c r="J51" s="257"/>
      <c r="K51" s="49"/>
      <c r="L51" s="10"/>
      <c r="M51" s="10"/>
      <c r="N51" s="10"/>
      <c r="O51" s="10"/>
      <c r="P51" s="10"/>
      <c r="Q51" s="10"/>
      <c r="R51" s="10"/>
      <c r="S51" s="1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conditionalFormatting sqref="M5:M6 O5:P5 E11 G11 H18:J18 C24:H24 P27 M28 L36:P44">
    <cfRule type="cellIs" dxfId="2" priority="1" operator="lessThan" stopIfTrue="1">
      <formula>0</formula>
    </cfRule>
  </conditionalFormatting>
  <pageMargins left="0.7" right="0.7" top="0.75" bottom="0.75" header="0.3" footer="0.3"/>
  <pageSetup firstPageNumber="1" fitToHeight="1" fitToWidth="1" scale="65" useFirstPageNumber="0" orientation="portrait" pageOrder="downThenOver"/>
  <headerFooter>
    <oddFooter>&amp;C&amp;"Helvetica Neue,Regular"&amp;12&amp;K000000&amp;P</oddFooter>
  </headerFooter>
  <drawing r:id="rId1"/>
  <legacyDrawing r:id="rId2"/>
</worksheet>
</file>

<file path=xl/worksheets/sheet5.xml><?xml version="1.0" encoding="utf-8"?>
<worksheet xmlns:r="http://schemas.openxmlformats.org/officeDocument/2006/relationships" xmlns="http://schemas.openxmlformats.org/spreadsheetml/2006/main">
  <dimension ref="A1:S51"/>
  <sheetViews>
    <sheetView workbookViewId="0" showGridLines="0" defaultGridColor="1"/>
  </sheetViews>
  <sheetFormatPr defaultColWidth="8.83333" defaultRowHeight="16.5" customHeight="1" outlineLevelRow="0" outlineLevelCol="0"/>
  <cols>
    <col min="1" max="1" width="10.3516" style="258" customWidth="1"/>
    <col min="2" max="2" width="12.5" style="258" customWidth="1"/>
    <col min="3" max="3" width="12.3516" style="258" customWidth="1"/>
    <col min="4" max="4" width="11.8516" style="258" customWidth="1"/>
    <col min="5" max="5" width="12.3516" style="258" customWidth="1"/>
    <col min="6" max="6" width="11" style="258" customWidth="1"/>
    <col min="7" max="7" width="15.6719" style="258" customWidth="1"/>
    <col min="8" max="8" width="9" style="258" customWidth="1"/>
    <col min="9" max="9" width="12.3516" style="258" customWidth="1"/>
    <col min="10" max="10" width="11.8516" style="258" customWidth="1"/>
    <col min="11" max="11" width="5.5" style="258" customWidth="1"/>
    <col min="12" max="16" width="11.6719" style="258" customWidth="1"/>
    <col min="17" max="17" width="14.3516" style="258" customWidth="1"/>
    <col min="18" max="18" width="10" style="258" customWidth="1"/>
    <col min="19" max="19" width="13" style="258" customWidth="1"/>
    <col min="20" max="16384" width="8.85156" style="258" customWidth="1"/>
  </cols>
  <sheetData>
    <row r="1" ht="14.25" customHeight="1">
      <c r="A1" t="s" s="7">
        <v>6</v>
      </c>
      <c r="B1" s="8"/>
      <c r="C1" s="8"/>
      <c r="D1" s="8"/>
      <c r="E1" s="8"/>
      <c r="F1" s="9"/>
      <c r="G1" s="9"/>
      <c r="H1" s="9"/>
      <c r="I1" s="9"/>
      <c r="J1" s="9"/>
      <c r="K1" s="10"/>
      <c r="L1" t="s" s="11">
        <v>7</v>
      </c>
      <c r="M1" s="12"/>
      <c r="N1" s="12"/>
      <c r="O1" s="12"/>
      <c r="P1" s="12"/>
      <c r="Q1" s="12"/>
      <c r="R1" s="10"/>
      <c r="S1" s="13"/>
    </row>
    <row r="2" ht="27" customHeight="1">
      <c r="A2" t="s" s="14">
        <v>8</v>
      </c>
      <c r="B2" s="15"/>
      <c r="C2" s="15"/>
      <c r="D2" s="15"/>
      <c r="E2" s="15"/>
      <c r="F2" s="15"/>
      <c r="G2" s="15"/>
      <c r="H2" s="15"/>
      <c r="I2" s="15"/>
      <c r="J2" s="15"/>
      <c r="K2" s="10"/>
      <c r="L2" s="12"/>
      <c r="M2" s="12"/>
      <c r="N2" s="12"/>
      <c r="O2" s="12"/>
      <c r="P2" s="12"/>
      <c r="Q2" s="12"/>
      <c r="R2" s="10"/>
      <c r="S2" s="13"/>
    </row>
    <row r="3" ht="8" customHeight="1">
      <c r="A3" s="16"/>
      <c r="B3" s="16"/>
      <c r="C3" s="16"/>
      <c r="D3" s="16"/>
      <c r="E3" s="16"/>
      <c r="F3" s="16"/>
      <c r="G3" s="16"/>
      <c r="H3" s="16"/>
      <c r="I3" s="16"/>
      <c r="J3" s="16"/>
      <c r="K3" s="17"/>
      <c r="L3" t="s" s="18">
        <v>9</v>
      </c>
      <c r="M3" s="19"/>
      <c r="N3" s="19"/>
      <c r="O3" s="19"/>
      <c r="P3" s="19"/>
      <c r="Q3" s="10"/>
      <c r="R3" s="10"/>
      <c r="S3" s="13"/>
    </row>
    <row r="4" ht="17.25" customHeight="1">
      <c r="A4" t="s" s="20">
        <v>10</v>
      </c>
      <c r="B4" s="21"/>
      <c r="C4" t="s" s="22">
        <v>11</v>
      </c>
      <c r="D4" s="23"/>
      <c r="E4" t="s" s="253">
        <v>118</v>
      </c>
      <c r="F4" t="s" s="22">
        <v>13</v>
      </c>
      <c r="G4" s="25"/>
      <c r="H4" s="25"/>
      <c r="I4" s="25"/>
      <c r="J4" s="26"/>
      <c r="K4" s="27"/>
      <c r="L4" s="19"/>
      <c r="M4" s="19"/>
      <c r="N4" s="19"/>
      <c r="O4" s="19"/>
      <c r="P4" s="19"/>
      <c r="Q4" s="10"/>
      <c r="R4" s="10"/>
      <c r="S4" s="13"/>
    </row>
    <row r="5" ht="15" customHeight="1">
      <c r="A5" t="s" s="28">
        <v>14</v>
      </c>
      <c r="B5" s="29"/>
      <c r="C5" s="30"/>
      <c r="D5" s="30"/>
      <c r="E5" s="29"/>
      <c r="F5" s="30"/>
      <c r="G5" s="30"/>
      <c r="H5" s="30"/>
      <c r="I5" s="30"/>
      <c r="J5" s="31"/>
      <c r="K5" s="27"/>
      <c r="L5" t="s" s="32">
        <v>9</v>
      </c>
      <c r="M5" s="33"/>
      <c r="N5" s="34"/>
      <c r="O5" s="33"/>
      <c r="P5" s="33"/>
      <c r="Q5" s="35"/>
      <c r="R5" s="10"/>
      <c r="S5" s="13"/>
    </row>
    <row r="6" ht="21.75" customHeight="1">
      <c r="A6" t="s" s="36">
        <v>15</v>
      </c>
      <c r="B6" t="s" s="37">
        <v>9</v>
      </c>
      <c r="C6" s="38"/>
      <c r="D6" s="38"/>
      <c r="E6" s="39"/>
      <c r="F6" t="s" s="40">
        <v>17</v>
      </c>
      <c r="G6" s="41"/>
      <c r="H6" s="237"/>
      <c r="I6" s="38"/>
      <c r="J6" s="42"/>
      <c r="K6" s="43"/>
      <c r="L6" t="s" s="44">
        <v>19</v>
      </c>
      <c r="M6" s="45"/>
      <c r="N6" t="s" s="46">
        <v>20</v>
      </c>
      <c r="O6" s="47">
        <v>8</v>
      </c>
      <c r="P6" t="s" s="46">
        <v>21</v>
      </c>
      <c r="Q6" s="48">
        <v>6</v>
      </c>
      <c r="R6" s="49"/>
      <c r="S6" s="13"/>
    </row>
    <row r="7" ht="21.75" customHeight="1">
      <c r="A7" t="s" s="50">
        <v>22</v>
      </c>
      <c r="B7" s="51"/>
      <c r="C7" s="51"/>
      <c r="D7" s="51"/>
      <c r="E7" s="51"/>
      <c r="F7" t="s" s="52">
        <v>23</v>
      </c>
      <c r="G7" s="53"/>
      <c r="H7" t="s" s="238">
        <v>9</v>
      </c>
      <c r="I7" s="51"/>
      <c r="J7" s="54"/>
      <c r="K7" s="49"/>
      <c r="L7" s="55"/>
      <c r="M7" s="55"/>
      <c r="N7" s="55"/>
      <c r="O7" s="55"/>
      <c r="P7" s="55"/>
      <c r="Q7" s="56"/>
      <c r="R7" s="10"/>
      <c r="S7" s="13"/>
    </row>
    <row r="8" ht="18" customHeight="1">
      <c r="A8" t="s" s="57">
        <v>24</v>
      </c>
      <c r="B8" t="s" s="58">
        <v>130</v>
      </c>
      <c r="C8" s="59"/>
      <c r="D8" t="s" s="60">
        <v>131</v>
      </c>
      <c r="E8" s="59"/>
      <c r="F8" t="s" s="61">
        <v>27</v>
      </c>
      <c r="G8" t="s" s="62">
        <v>28</v>
      </c>
      <c r="H8" s="63"/>
      <c r="I8" s="63"/>
      <c r="J8" s="64"/>
      <c r="K8" s="49"/>
      <c r="L8" s="34"/>
      <c r="M8" s="34"/>
      <c r="N8" s="34"/>
      <c r="O8" s="34"/>
      <c r="P8" s="34"/>
      <c r="Q8" s="35"/>
      <c r="R8" s="10"/>
      <c r="S8" s="13"/>
    </row>
    <row r="9" ht="12" customHeight="1">
      <c r="A9" s="65"/>
      <c r="B9" t="s" s="66">
        <v>29</v>
      </c>
      <c r="C9" s="67"/>
      <c r="D9" s="67"/>
      <c r="E9" s="67"/>
      <c r="F9" s="68"/>
      <c r="G9" s="68"/>
      <c r="H9" s="68"/>
      <c r="I9" s="68"/>
      <c r="J9" s="69"/>
      <c r="K9" s="43"/>
      <c r="L9" t="s" s="70">
        <v>30</v>
      </c>
      <c r="M9" t="s" s="71">
        <v>31</v>
      </c>
      <c r="N9" t="s" s="71">
        <v>32</v>
      </c>
      <c r="O9" t="s" s="71">
        <v>33</v>
      </c>
      <c r="P9" t="s" s="71">
        <v>34</v>
      </c>
      <c r="Q9" t="s" s="72">
        <v>35</v>
      </c>
      <c r="R9" s="49"/>
      <c r="S9" s="13"/>
    </row>
    <row r="10" ht="30" customHeight="1">
      <c r="A10" s="73"/>
      <c r="B10" s="74"/>
      <c r="C10" s="75"/>
      <c r="D10" s="75"/>
      <c r="E10" s="75"/>
      <c r="F10" s="75"/>
      <c r="G10" s="75"/>
      <c r="H10" s="75"/>
      <c r="I10" s="75"/>
      <c r="J10" s="76"/>
      <c r="K10" t="s" s="77">
        <v>9</v>
      </c>
      <c r="L10" t="s" s="78">
        <v>36</v>
      </c>
      <c r="M10" s="79">
        <v>48</v>
      </c>
      <c r="N10" s="80">
        <v>1</v>
      </c>
      <c r="O10" s="81">
        <v>4.34</v>
      </c>
      <c r="P10" s="82">
        <f>M10*O10</f>
        <v>208.32</v>
      </c>
      <c r="Q10" s="83">
        <f>P10/P15</f>
        <v>0.730066165750813</v>
      </c>
      <c r="R10" s="49"/>
      <c r="S10" s="13"/>
    </row>
    <row r="11" ht="19.5" customHeight="1">
      <c r="A11" t="s" s="57">
        <v>37</v>
      </c>
      <c r="B11" t="s" s="84">
        <v>38</v>
      </c>
      <c r="C11" s="85"/>
      <c r="D11" s="86"/>
      <c r="E11" s="87">
        <f>D24</f>
        <v>73280.0000000002</v>
      </c>
      <c r="F11" t="s" s="88">
        <v>39</v>
      </c>
      <c r="G11" s="89">
        <f>E11/8</f>
        <v>9160.000000000029</v>
      </c>
      <c r="H11" t="s" s="90">
        <v>40</v>
      </c>
      <c r="I11" s="91"/>
      <c r="J11" s="92"/>
      <c r="K11" s="43"/>
      <c r="L11" t="s" s="78">
        <v>41</v>
      </c>
      <c r="M11" s="79">
        <v>9.6</v>
      </c>
      <c r="N11" s="80">
        <v>1</v>
      </c>
      <c r="O11" s="81">
        <v>4.34</v>
      </c>
      <c r="P11" s="82">
        <f>M11*O11</f>
        <v>41.664</v>
      </c>
      <c r="Q11" s="83">
        <f>P11/P15</f>
        <v>0.146013233150163</v>
      </c>
      <c r="R11" s="49"/>
      <c r="S11" s="13"/>
    </row>
    <row r="12" ht="17.25" customHeight="1">
      <c r="A12" s="65"/>
      <c r="B12" t="s" s="93">
        <v>42</v>
      </c>
      <c r="C12" s="94"/>
      <c r="D12" s="94"/>
      <c r="E12" s="95"/>
      <c r="F12" s="94"/>
      <c r="G12" s="95"/>
      <c r="H12" s="94"/>
      <c r="I12" s="94"/>
      <c r="J12" s="96"/>
      <c r="K12" s="43"/>
      <c r="L12" t="s" s="78">
        <v>43</v>
      </c>
      <c r="M12" s="79">
        <v>12</v>
      </c>
      <c r="N12" s="80">
        <v>1</v>
      </c>
      <c r="O12" s="81">
        <v>0</v>
      </c>
      <c r="P12" s="82">
        <f>M12*N12*O12</f>
        <v>0</v>
      </c>
      <c r="Q12" s="83">
        <f>P12/P15</f>
        <v>0</v>
      </c>
      <c r="R12" s="98"/>
      <c r="S12" s="99"/>
    </row>
    <row r="13" ht="17.25" customHeight="1">
      <c r="A13" s="65"/>
      <c r="B13" s="100"/>
      <c r="C13" s="94"/>
      <c r="D13" s="94"/>
      <c r="E13" s="94"/>
      <c r="F13" s="94"/>
      <c r="G13" s="94"/>
      <c r="H13" s="94"/>
      <c r="I13" s="94"/>
      <c r="J13" s="96"/>
      <c r="K13" s="43"/>
      <c r="L13" t="s" s="78">
        <v>44</v>
      </c>
      <c r="M13" s="79">
        <v>8</v>
      </c>
      <c r="N13" s="80">
        <v>0.5</v>
      </c>
      <c r="O13" s="81">
        <v>4.34</v>
      </c>
      <c r="P13" s="82">
        <f>M13*N13*O13</f>
        <v>17.36</v>
      </c>
      <c r="Q13" s="101">
        <f>P13/P15</f>
        <v>0.0608388471459011</v>
      </c>
      <c r="R13" s="49"/>
      <c r="S13" s="13"/>
    </row>
    <row r="14" ht="17.25" customHeight="1">
      <c r="A14" s="65"/>
      <c r="B14" s="100"/>
      <c r="C14" s="94"/>
      <c r="D14" s="94"/>
      <c r="E14" s="94"/>
      <c r="F14" s="94"/>
      <c r="G14" s="94"/>
      <c r="H14" s="94"/>
      <c r="I14" s="94"/>
      <c r="J14" s="96"/>
      <c r="K14" s="43"/>
      <c r="L14" t="s" s="78">
        <v>45</v>
      </c>
      <c r="M14" s="81">
        <v>0</v>
      </c>
      <c r="N14" s="80"/>
      <c r="O14" s="81">
        <v>0</v>
      </c>
      <c r="P14" s="82">
        <v>18</v>
      </c>
      <c r="Q14" s="101">
        <f>P14/P15</f>
        <v>0.0630817539531232</v>
      </c>
      <c r="R14" s="49"/>
      <c r="S14" s="13"/>
    </row>
    <row r="15" ht="13.5" customHeight="1">
      <c r="A15" s="65"/>
      <c r="B15" t="s" s="102">
        <v>46</v>
      </c>
      <c r="C15" s="68"/>
      <c r="D15" s="68"/>
      <c r="E15" s="68"/>
      <c r="F15" s="68"/>
      <c r="G15" s="68"/>
      <c r="H15" s="68"/>
      <c r="I15" s="68"/>
      <c r="J15" s="69"/>
      <c r="K15" s="43"/>
      <c r="L15" t="s" s="103">
        <v>47</v>
      </c>
      <c r="M15" s="104"/>
      <c r="N15" s="104"/>
      <c r="O15" s="105">
        <v>0</v>
      </c>
      <c r="P15" s="106">
        <f>SUM(P10:P14)</f>
        <v>285.344</v>
      </c>
      <c r="Q15" s="107">
        <f>SUM(Q10:Q14)</f>
        <v>1</v>
      </c>
      <c r="R15" s="49"/>
      <c r="S15" s="13"/>
    </row>
    <row r="16" ht="13.5" customHeight="1">
      <c r="A16" s="65"/>
      <c r="B16" s="108"/>
      <c r="C16" s="68"/>
      <c r="D16" s="68"/>
      <c r="E16" s="68"/>
      <c r="F16" s="68"/>
      <c r="G16" s="68"/>
      <c r="H16" s="68"/>
      <c r="I16" s="68"/>
      <c r="J16" s="69"/>
      <c r="K16" s="49"/>
      <c r="L16" s="56"/>
      <c r="M16" s="56"/>
      <c r="N16" s="56"/>
      <c r="O16" s="56"/>
      <c r="P16" s="56"/>
      <c r="Q16" s="56"/>
      <c r="R16" s="10"/>
      <c r="S16" s="13"/>
    </row>
    <row r="17" ht="21" customHeight="1">
      <c r="A17" s="65"/>
      <c r="B17" t="s" s="102">
        <v>48</v>
      </c>
      <c r="C17" s="68"/>
      <c r="D17" s="68"/>
      <c r="E17" s="68"/>
      <c r="F17" s="68"/>
      <c r="G17" s="109"/>
      <c r="H17" s="109"/>
      <c r="I17" s="109"/>
      <c r="J17" s="110"/>
      <c r="K17" s="49"/>
      <c r="L17" s="111"/>
      <c r="M17" s="112"/>
      <c r="N17" t="s" s="113">
        <v>49</v>
      </c>
      <c r="O17" s="114"/>
      <c r="P17" s="114"/>
      <c r="Q17" s="115">
        <v>9620</v>
      </c>
      <c r="R17" s="10"/>
      <c r="S17" s="13"/>
    </row>
    <row r="18" ht="15.75" customHeight="1">
      <c r="A18" s="65"/>
      <c r="B18" t="s" s="116">
        <v>108</v>
      </c>
      <c r="C18" s="117"/>
      <c r="D18" s="117"/>
      <c r="E18" s="117"/>
      <c r="F18" s="118"/>
      <c r="G18" s="119">
        <v>100374.46390169</v>
      </c>
      <c r="H18" t="s" s="120">
        <v>51</v>
      </c>
      <c r="I18" s="121"/>
      <c r="J18" s="122"/>
      <c r="K18" s="49"/>
      <c r="L18" s="111"/>
      <c r="M18" s="112"/>
      <c r="N18" s="10"/>
      <c r="O18" s="10"/>
      <c r="P18" s="123"/>
      <c r="Q18" s="10"/>
      <c r="R18" s="10"/>
      <c r="S18" s="13"/>
    </row>
    <row r="19" ht="15.75" customHeight="1">
      <c r="A19" s="65"/>
      <c r="B19" t="s" s="124">
        <v>121</v>
      </c>
      <c r="C19" s="125"/>
      <c r="D19" s="125"/>
      <c r="E19" s="125"/>
      <c r="F19" s="125"/>
      <c r="G19" s="126"/>
      <c r="H19" s="126"/>
      <c r="I19" s="126"/>
      <c r="J19" s="127"/>
      <c r="K19" s="49"/>
      <c r="L19" t="s" s="128">
        <v>53</v>
      </c>
      <c r="M19" s="129"/>
      <c r="N19" s="129"/>
      <c r="O19" s="129"/>
      <c r="P19" s="129"/>
      <c r="Q19" s="130"/>
      <c r="R19" s="10"/>
      <c r="S19" s="13"/>
    </row>
    <row r="20" ht="15.75" customHeight="1">
      <c r="A20" s="65"/>
      <c r="B20" t="s" s="124">
        <v>54</v>
      </c>
      <c r="C20" s="125"/>
      <c r="D20" s="125"/>
      <c r="E20" s="125"/>
      <c r="F20" s="125"/>
      <c r="G20" s="125"/>
      <c r="H20" s="125"/>
      <c r="I20" s="125"/>
      <c r="J20" s="131"/>
      <c r="K20" s="49"/>
      <c r="L20" s="129"/>
      <c r="M20" s="129"/>
      <c r="N20" s="129"/>
      <c r="O20" s="129"/>
      <c r="P20" s="129"/>
      <c r="Q20" s="130"/>
      <c r="R20" s="10"/>
      <c r="S20" s="13"/>
    </row>
    <row r="21" ht="15.75" customHeight="1">
      <c r="A21" s="73"/>
      <c r="B21" t="s" s="132">
        <v>122</v>
      </c>
      <c r="C21" s="133"/>
      <c r="D21" s="133"/>
      <c r="E21" s="133"/>
      <c r="F21" s="133"/>
      <c r="G21" s="133"/>
      <c r="H21" s="133"/>
      <c r="I21" s="133"/>
      <c r="J21" s="134"/>
      <c r="K21" s="49"/>
      <c r="L21" s="129"/>
      <c r="M21" s="129"/>
      <c r="N21" s="129"/>
      <c r="O21" s="129"/>
      <c r="P21" s="129"/>
      <c r="Q21" s="130"/>
      <c r="R21" s="10"/>
      <c r="S21" s="13"/>
    </row>
    <row r="22" ht="18.75" customHeight="1">
      <c r="A22" t="s" s="135">
        <v>58</v>
      </c>
      <c r="B22" t="s" s="136">
        <v>59</v>
      </c>
      <c r="C22" s="137"/>
      <c r="D22" t="s" s="138">
        <v>36</v>
      </c>
      <c r="E22" t="s" s="138">
        <v>60</v>
      </c>
      <c r="F22" t="s" s="138">
        <v>43</v>
      </c>
      <c r="G22" t="s" s="139">
        <v>61</v>
      </c>
      <c r="H22" s="140"/>
      <c r="I22" t="s" s="139">
        <v>45</v>
      </c>
      <c r="J22" s="141"/>
      <c r="K22" s="49"/>
      <c r="L22" t="s" s="128">
        <v>55</v>
      </c>
      <c r="M22" s="129"/>
      <c r="N22" s="129"/>
      <c r="O22" s="129"/>
      <c r="P22" s="129"/>
      <c r="Q22" s="130"/>
      <c r="R22" s="129"/>
      <c r="S22" s="142"/>
    </row>
    <row r="23" ht="18.75" customHeight="1">
      <c r="A23" s="143"/>
      <c r="B23" t="s" s="144">
        <v>63</v>
      </c>
      <c r="C23" s="145"/>
      <c r="D23" s="146">
        <f>Q10</f>
        <v>0.730066165750813</v>
      </c>
      <c r="E23" s="146">
        <f>Q11</f>
        <v>0.146013233150163</v>
      </c>
      <c r="F23" s="146">
        <f>Q12</f>
        <v>0</v>
      </c>
      <c r="G23" s="147">
        <f>Q13</f>
        <v>0.0608388471459011</v>
      </c>
      <c r="H23" s="148"/>
      <c r="I23" s="147">
        <f>Q14</f>
        <v>0.0630817539531232</v>
      </c>
      <c r="J23" s="149"/>
      <c r="K23" s="49"/>
      <c r="L23" t="s" s="128">
        <v>57</v>
      </c>
      <c r="M23" s="129"/>
      <c r="N23" s="129"/>
      <c r="O23" s="129"/>
      <c r="P23" s="129"/>
      <c r="Q23" s="129"/>
      <c r="R23" s="129"/>
      <c r="S23" s="142"/>
    </row>
    <row r="24" ht="18.75" customHeight="1">
      <c r="A24" s="150"/>
      <c r="B24" t="s" s="151">
        <v>64</v>
      </c>
      <c r="C24" s="152">
        <f>G11</f>
        <v>9160.000000000029</v>
      </c>
      <c r="D24" s="153">
        <f>G18*$D$23</f>
        <v>73280.0000000002</v>
      </c>
      <c r="E24" s="153">
        <f>G18*$E$23</f>
        <v>14656.0000000001</v>
      </c>
      <c r="F24" s="153">
        <f>G18*$F$23</f>
        <v>0</v>
      </c>
      <c r="G24" s="154">
        <f>G18*$G$23</f>
        <v>6106.666666666690</v>
      </c>
      <c r="H24" s="155"/>
      <c r="I24" s="156">
        <f>G18*$I$23</f>
        <v>6331.797235023060</v>
      </c>
      <c r="J24" s="157"/>
      <c r="K24" s="49"/>
      <c r="L24" t="s" s="128">
        <v>62</v>
      </c>
      <c r="M24" s="129"/>
      <c r="N24" s="129"/>
      <c r="O24" s="129"/>
      <c r="P24" s="129"/>
      <c r="Q24" s="129"/>
      <c r="R24" s="129"/>
      <c r="S24" s="142"/>
    </row>
    <row r="25" ht="54.75" customHeight="1">
      <c r="A25" t="s" s="135">
        <v>65</v>
      </c>
      <c r="B25" t="s" s="158">
        <v>123</v>
      </c>
      <c r="C25" s="159"/>
      <c r="D25" s="159"/>
      <c r="E25" s="159"/>
      <c r="F25" s="159"/>
      <c r="G25" s="159"/>
      <c r="H25" s="159"/>
      <c r="I25" s="159"/>
      <c r="J25" s="160"/>
      <c r="K25" s="49"/>
      <c r="L25" t="s" s="128">
        <v>9</v>
      </c>
      <c r="M25" s="129"/>
      <c r="N25" s="129"/>
      <c r="O25" s="129"/>
      <c r="P25" s="129"/>
      <c r="Q25" s="130"/>
      <c r="R25" s="10"/>
      <c r="S25" s="142"/>
    </row>
    <row r="26" ht="66.75" customHeight="1">
      <c r="A26" s="73"/>
      <c r="B26" s="74"/>
      <c r="C26" s="75"/>
      <c r="D26" s="75"/>
      <c r="E26" s="75"/>
      <c r="F26" s="75"/>
      <c r="G26" s="75"/>
      <c r="H26" s="75"/>
      <c r="I26" s="75"/>
      <c r="J26" s="76"/>
      <c r="K26" s="49"/>
      <c r="L26" t="s" s="128">
        <v>9</v>
      </c>
      <c r="M26" s="129"/>
      <c r="N26" s="129"/>
      <c r="O26" s="129"/>
      <c r="P26" s="129"/>
      <c r="Q26" s="130"/>
      <c r="R26" s="10"/>
      <c r="S26" s="142"/>
    </row>
    <row r="27" ht="27.75" customHeight="1">
      <c r="A27" t="s" s="57">
        <v>67</v>
      </c>
      <c r="B27" t="s" s="158">
        <v>68</v>
      </c>
      <c r="C27" s="159"/>
      <c r="D27" s="159"/>
      <c r="E27" s="159"/>
      <c r="F27" s="159"/>
      <c r="G27" s="159"/>
      <c r="H27" s="159"/>
      <c r="I27" s="159"/>
      <c r="J27" s="160"/>
      <c r="K27" s="49"/>
      <c r="L27" s="161">
        <f>C24*8</f>
        <v>73280.0000000002</v>
      </c>
      <c r="M27" s="162">
        <f>E24*5</f>
        <v>73280.000000000495</v>
      </c>
      <c r="N27" s="129"/>
      <c r="O27" s="162"/>
      <c r="P27" s="163"/>
      <c r="Q27" s="162"/>
      <c r="R27" s="164"/>
      <c r="S27" s="165"/>
    </row>
    <row r="28" ht="27.75" customHeight="1">
      <c r="A28" s="73"/>
      <c r="B28" s="74"/>
      <c r="C28" s="75"/>
      <c r="D28" s="75"/>
      <c r="E28" s="75"/>
      <c r="F28" s="75"/>
      <c r="G28" s="75"/>
      <c r="H28" s="75"/>
      <c r="I28" s="75"/>
      <c r="J28" s="76"/>
      <c r="K28" s="49"/>
      <c r="L28" s="161"/>
      <c r="M28" s="163"/>
      <c r="N28" s="10"/>
      <c r="O28" s="10"/>
      <c r="P28" s="10"/>
      <c r="Q28" s="10"/>
      <c r="R28" s="164"/>
      <c r="S28" s="165"/>
    </row>
    <row r="29" ht="40.5" customHeight="1">
      <c r="A29" t="s" s="166">
        <v>69</v>
      </c>
      <c r="B29" t="s" s="167">
        <v>70</v>
      </c>
      <c r="C29" s="168"/>
      <c r="D29" s="168"/>
      <c r="E29" s="168"/>
      <c r="F29" s="168"/>
      <c r="G29" s="168"/>
      <c r="H29" s="168"/>
      <c r="I29" s="168"/>
      <c r="J29" s="169"/>
      <c r="K29" s="49"/>
      <c r="L29" t="s" s="170">
        <v>71</v>
      </c>
      <c r="M29" s="171"/>
      <c r="N29" s="171"/>
      <c r="O29" s="171"/>
      <c r="P29" s="171"/>
      <c r="Q29" s="171"/>
      <c r="R29" s="164"/>
      <c r="S29" s="165"/>
    </row>
    <row r="30" ht="23.25" customHeight="1">
      <c r="A30" t="s" s="135">
        <v>72</v>
      </c>
      <c r="B30" t="s" s="158">
        <v>73</v>
      </c>
      <c r="C30" s="159"/>
      <c r="D30" s="159"/>
      <c r="E30" s="159"/>
      <c r="F30" s="159"/>
      <c r="G30" s="159"/>
      <c r="H30" s="159"/>
      <c r="I30" s="159"/>
      <c r="J30" s="160"/>
      <c r="K30" s="49"/>
      <c r="L30" s="171"/>
      <c r="M30" s="171"/>
      <c r="N30" s="171"/>
      <c r="O30" s="171"/>
      <c r="P30" s="171"/>
      <c r="Q30" s="171"/>
      <c r="R30" s="164"/>
      <c r="S30" s="164"/>
    </row>
    <row r="31" ht="23.25" customHeight="1">
      <c r="A31" s="143"/>
      <c r="B31" s="108"/>
      <c r="C31" s="68"/>
      <c r="D31" s="68"/>
      <c r="E31" s="68"/>
      <c r="F31" s="68"/>
      <c r="G31" s="68"/>
      <c r="H31" s="68"/>
      <c r="I31" s="68"/>
      <c r="J31" s="69"/>
      <c r="K31" s="49"/>
      <c r="L31" s="171"/>
      <c r="M31" s="171"/>
      <c r="N31" s="171"/>
      <c r="O31" s="171"/>
      <c r="P31" s="171"/>
      <c r="Q31" s="171"/>
      <c r="R31" s="10"/>
      <c r="S31" s="142"/>
    </row>
    <row r="32" ht="23.25" customHeight="1">
      <c r="A32" s="143"/>
      <c r="B32" s="108"/>
      <c r="C32" s="68"/>
      <c r="D32" s="68"/>
      <c r="E32" s="68"/>
      <c r="F32" s="68"/>
      <c r="G32" s="68"/>
      <c r="H32" s="68"/>
      <c r="I32" s="68"/>
      <c r="J32" s="69"/>
      <c r="K32" s="49"/>
      <c r="L32" s="171"/>
      <c r="M32" s="171"/>
      <c r="N32" s="171"/>
      <c r="O32" s="171"/>
      <c r="P32" s="171"/>
      <c r="Q32" s="171"/>
      <c r="R32" s="10"/>
      <c r="S32" s="142"/>
    </row>
    <row r="33" ht="23.25" customHeight="1">
      <c r="A33" s="143"/>
      <c r="B33" s="108"/>
      <c r="C33" s="68"/>
      <c r="D33" s="68"/>
      <c r="E33" s="68"/>
      <c r="F33" s="68"/>
      <c r="G33" s="68"/>
      <c r="H33" s="68"/>
      <c r="I33" s="68"/>
      <c r="J33" s="69"/>
      <c r="K33" s="49"/>
      <c r="L33" s="172"/>
      <c r="M33" s="172"/>
      <c r="N33" s="172"/>
      <c r="O33" s="172"/>
      <c r="P33" s="172"/>
      <c r="Q33" s="10"/>
      <c r="R33" s="10"/>
      <c r="S33" s="142"/>
    </row>
    <row r="34" ht="23.25" customHeight="1">
      <c r="A34" s="143"/>
      <c r="B34" s="108"/>
      <c r="C34" s="68"/>
      <c r="D34" s="68"/>
      <c r="E34" s="68"/>
      <c r="F34" s="68"/>
      <c r="G34" s="68"/>
      <c r="H34" s="68"/>
      <c r="I34" s="68"/>
      <c r="J34" s="69"/>
      <c r="K34" s="173"/>
      <c r="L34" s="174"/>
      <c r="M34" s="174"/>
      <c r="N34" s="174"/>
      <c r="O34" s="174"/>
      <c r="P34" s="174"/>
      <c r="Q34" s="175"/>
      <c r="R34" s="10"/>
      <c r="S34" s="142"/>
    </row>
    <row r="35" ht="28.5" customHeight="1">
      <c r="A35" s="150"/>
      <c r="B35" s="74"/>
      <c r="C35" s="75"/>
      <c r="D35" s="75"/>
      <c r="E35" s="75"/>
      <c r="F35" s="75"/>
      <c r="G35" s="75"/>
      <c r="H35" s="75"/>
      <c r="I35" s="75"/>
      <c r="J35" s="76"/>
      <c r="K35" s="173"/>
      <c r="L35" s="176"/>
      <c r="M35" s="176"/>
      <c r="N35" s="176"/>
      <c r="O35" s="176"/>
      <c r="P35" s="176"/>
      <c r="Q35" s="177"/>
      <c r="R35" s="178"/>
      <c r="S35" s="142"/>
    </row>
    <row r="36" ht="21" customHeight="1">
      <c r="A36" t="s" s="135">
        <v>74</v>
      </c>
      <c r="B36" t="s" s="158">
        <v>124</v>
      </c>
      <c r="C36" s="159"/>
      <c r="D36" s="159"/>
      <c r="E36" s="159"/>
      <c r="F36" s="159"/>
      <c r="G36" s="159"/>
      <c r="H36" s="159"/>
      <c r="I36" s="159"/>
      <c r="J36" s="160"/>
      <c r="K36" s="173"/>
      <c r="L36" s="179"/>
      <c r="M36" s="179"/>
      <c r="N36" s="179"/>
      <c r="O36" s="179"/>
      <c r="P36" s="179"/>
      <c r="Q36" s="180"/>
      <c r="R36" s="181"/>
      <c r="S36" s="182"/>
    </row>
    <row r="37" ht="19.5" customHeight="1">
      <c r="A37" s="143"/>
      <c r="B37" s="108"/>
      <c r="C37" s="68"/>
      <c r="D37" s="68"/>
      <c r="E37" s="68"/>
      <c r="F37" s="68"/>
      <c r="G37" s="68"/>
      <c r="H37" s="68"/>
      <c r="I37" s="68"/>
      <c r="J37" s="69"/>
      <c r="K37" s="173"/>
      <c r="L37" s="183"/>
      <c r="M37" s="183"/>
      <c r="N37" s="183"/>
      <c r="O37" s="183"/>
      <c r="P37" s="183"/>
      <c r="Q37" s="184"/>
      <c r="R37" s="185"/>
      <c r="S37" s="182"/>
    </row>
    <row r="38" ht="19.5" customHeight="1">
      <c r="A38" s="143"/>
      <c r="B38" s="108"/>
      <c r="C38" s="68"/>
      <c r="D38" s="68"/>
      <c r="E38" s="68"/>
      <c r="F38" s="68"/>
      <c r="G38" s="68"/>
      <c r="H38" s="68"/>
      <c r="I38" s="68"/>
      <c r="J38" s="69"/>
      <c r="K38" s="173"/>
      <c r="L38" s="186"/>
      <c r="M38" s="186"/>
      <c r="N38" s="186"/>
      <c r="O38" s="186"/>
      <c r="P38" s="186"/>
      <c r="Q38" s="187"/>
      <c r="R38" s="188"/>
      <c r="S38" s="182"/>
    </row>
    <row r="39" ht="19.5" customHeight="1">
      <c r="A39" s="143"/>
      <c r="B39" s="108"/>
      <c r="C39" s="68"/>
      <c r="D39" s="68"/>
      <c r="E39" s="68"/>
      <c r="F39" s="68"/>
      <c r="G39" s="68"/>
      <c r="H39" s="68"/>
      <c r="I39" s="68"/>
      <c r="J39" s="69"/>
      <c r="K39" s="173"/>
      <c r="L39" s="186"/>
      <c r="M39" s="186"/>
      <c r="N39" s="186"/>
      <c r="O39" s="186"/>
      <c r="P39" s="186"/>
      <c r="Q39" s="187"/>
      <c r="R39" s="188"/>
      <c r="S39" s="182"/>
    </row>
    <row r="40" ht="19.5" customHeight="1">
      <c r="A40" s="150"/>
      <c r="B40" s="74"/>
      <c r="C40" s="75"/>
      <c r="D40" s="75"/>
      <c r="E40" s="75"/>
      <c r="F40" s="75"/>
      <c r="G40" s="75"/>
      <c r="H40" s="75"/>
      <c r="I40" s="75"/>
      <c r="J40" s="76"/>
      <c r="K40" s="173"/>
      <c r="L40" s="186"/>
      <c r="M40" s="186"/>
      <c r="N40" s="186"/>
      <c r="O40" s="186"/>
      <c r="P40" s="186"/>
      <c r="Q40" s="187"/>
      <c r="R40" s="188"/>
      <c r="S40" s="182"/>
    </row>
    <row r="41" ht="17.1" customHeight="1">
      <c r="A41" t="s" s="135">
        <v>76</v>
      </c>
      <c r="B41" t="s" s="167">
        <v>77</v>
      </c>
      <c r="C41" s="168"/>
      <c r="D41" s="168"/>
      <c r="E41" s="168"/>
      <c r="F41" s="168"/>
      <c r="G41" s="168"/>
      <c r="H41" s="168"/>
      <c r="I41" s="168"/>
      <c r="J41" s="169"/>
      <c r="K41" s="173"/>
      <c r="L41" s="186"/>
      <c r="M41" s="186"/>
      <c r="N41" s="186"/>
      <c r="O41" s="186"/>
      <c r="P41" s="186"/>
      <c r="Q41" s="187"/>
      <c r="R41" s="188"/>
      <c r="S41" s="182"/>
    </row>
    <row r="42" ht="19.5" customHeight="1">
      <c r="A42" s="143"/>
      <c r="B42" t="s" s="189">
        <v>78</v>
      </c>
      <c r="C42" s="190"/>
      <c r="D42" t="s" s="189">
        <v>79</v>
      </c>
      <c r="E42" s="190"/>
      <c r="F42" t="s" s="189">
        <v>80</v>
      </c>
      <c r="G42" s="190"/>
      <c r="H42" t="s" s="189">
        <v>81</v>
      </c>
      <c r="I42" s="190"/>
      <c r="J42" t="s" s="191">
        <v>82</v>
      </c>
      <c r="K42" s="192"/>
      <c r="L42" s="186"/>
      <c r="M42" s="186"/>
      <c r="N42" s="186"/>
      <c r="O42" s="186"/>
      <c r="P42" s="186"/>
      <c r="Q42" s="187"/>
      <c r="R42" s="188"/>
      <c r="S42" s="182"/>
    </row>
    <row r="43" ht="19.5" customHeight="1">
      <c r="A43" s="143"/>
      <c r="B43" t="s" s="193">
        <v>83</v>
      </c>
      <c r="C43" s="194"/>
      <c r="D43" t="s" s="193">
        <v>83</v>
      </c>
      <c r="E43" s="194"/>
      <c r="F43" t="s" s="193">
        <v>83</v>
      </c>
      <c r="G43" s="194"/>
      <c r="H43" t="s" s="193">
        <v>83</v>
      </c>
      <c r="I43" s="194"/>
      <c r="J43" t="s" s="195">
        <v>83</v>
      </c>
      <c r="K43" s="192"/>
      <c r="L43" s="186"/>
      <c r="M43" s="186"/>
      <c r="N43" s="186"/>
      <c r="O43" s="186"/>
      <c r="P43" s="186"/>
      <c r="Q43" s="187"/>
      <c r="R43" s="188"/>
      <c r="S43" s="182"/>
    </row>
    <row r="44" ht="19.5" customHeight="1">
      <c r="A44" s="150"/>
      <c r="B44" t="s" s="167">
        <v>125</v>
      </c>
      <c r="C44" s="168"/>
      <c r="D44" s="168"/>
      <c r="E44" s="168"/>
      <c r="F44" s="168"/>
      <c r="G44" s="168"/>
      <c r="H44" s="168"/>
      <c r="I44" s="168"/>
      <c r="J44" s="169"/>
      <c r="K44" s="173"/>
      <c r="L44" s="186"/>
      <c r="M44" s="186"/>
      <c r="N44" s="186"/>
      <c r="O44" s="186"/>
      <c r="P44" s="186"/>
      <c r="Q44" s="187"/>
      <c r="R44" s="188"/>
      <c r="S44" s="182"/>
    </row>
    <row r="45" ht="21" customHeight="1">
      <c r="A45" t="s" s="196">
        <v>85</v>
      </c>
      <c r="B45" t="s" s="197">
        <v>126</v>
      </c>
      <c r="C45" s="198"/>
      <c r="D45" s="198"/>
      <c r="E45" s="198"/>
      <c r="F45" s="198"/>
      <c r="G45" s="198"/>
      <c r="H45" s="198"/>
      <c r="I45" s="198"/>
      <c r="J45" s="199"/>
      <c r="K45" s="49"/>
      <c r="L45" s="200"/>
      <c r="M45" s="200"/>
      <c r="N45" s="200"/>
      <c r="O45" s="200"/>
      <c r="P45" s="200"/>
      <c r="Q45" s="10"/>
      <c r="R45" s="200"/>
      <c r="S45" s="142"/>
    </row>
    <row r="46" ht="19.5" customHeight="1">
      <c r="A46" t="s" s="201">
        <v>132</v>
      </c>
      <c r="B46" s="202"/>
      <c r="C46" s="202"/>
      <c r="D46" s="202"/>
      <c r="E46" s="202"/>
      <c r="F46" s="202"/>
      <c r="G46" s="202"/>
      <c r="H46" s="202"/>
      <c r="I46" s="202"/>
      <c r="J46" s="203"/>
      <c r="K46" s="49"/>
      <c r="L46" s="10"/>
      <c r="M46" s="10"/>
      <c r="N46" s="10"/>
      <c r="O46" s="10"/>
      <c r="P46" s="10"/>
      <c r="Q46" s="10"/>
      <c r="R46" s="10"/>
      <c r="S46" s="13"/>
    </row>
    <row r="47" ht="23.25" customHeight="1">
      <c r="A47" t="s" s="204">
        <v>88</v>
      </c>
      <c r="B47" s="205"/>
      <c r="C47" s="205"/>
      <c r="D47" s="205"/>
      <c r="E47" s="205"/>
      <c r="F47" t="s" s="206">
        <v>89</v>
      </c>
      <c r="G47" s="205"/>
      <c r="H47" s="205"/>
      <c r="I47" s="205"/>
      <c r="J47" s="207"/>
      <c r="K47" s="49"/>
      <c r="L47" s="10"/>
      <c r="M47" s="10"/>
      <c r="N47" s="10"/>
      <c r="O47" s="10"/>
      <c r="P47" s="10"/>
      <c r="Q47" s="10"/>
      <c r="R47" s="10"/>
      <c r="S47" s="161"/>
    </row>
    <row r="48" ht="23.25" customHeight="1">
      <c r="A48" t="s" s="208">
        <v>90</v>
      </c>
      <c r="B48" s="209"/>
      <c r="C48" t="s" s="210">
        <f>A4</f>
        <v>91</v>
      </c>
      <c r="D48" s="209"/>
      <c r="E48" s="209"/>
      <c r="F48" t="s" s="211">
        <v>92</v>
      </c>
      <c r="G48" t="s" s="243">
        <v>128</v>
      </c>
      <c r="H48" s="244"/>
      <c r="I48" s="244"/>
      <c r="J48" s="245"/>
      <c r="K48" s="49"/>
      <c r="L48" s="10"/>
      <c r="M48" s="10"/>
      <c r="N48" s="10"/>
      <c r="O48" s="10"/>
      <c r="P48" s="10"/>
      <c r="Q48" s="10"/>
      <c r="R48" s="10"/>
      <c r="S48" s="13"/>
    </row>
    <row r="49" ht="23.25" customHeight="1">
      <c r="A49" t="s" s="215">
        <v>94</v>
      </c>
      <c r="B49" s="216"/>
      <c r="C49" t="s" s="217">
        <v>95</v>
      </c>
      <c r="D49" s="216"/>
      <c r="E49" s="216"/>
      <c r="F49" t="s" s="246">
        <v>96</v>
      </c>
      <c r="G49" s="254"/>
      <c r="H49" s="254"/>
      <c r="I49" s="254"/>
      <c r="J49" s="255"/>
      <c r="K49" s="49"/>
      <c r="L49" s="10"/>
      <c r="M49" s="10"/>
      <c r="N49" s="10"/>
      <c r="O49" s="10"/>
      <c r="P49" s="10"/>
      <c r="Q49" s="10"/>
      <c r="R49" s="10"/>
      <c r="S49" s="13"/>
    </row>
    <row r="50" ht="23.25" customHeight="1">
      <c r="A50" t="s" s="215">
        <v>98</v>
      </c>
      <c r="B50" s="216"/>
      <c r="C50" s="216"/>
      <c r="D50" s="216"/>
      <c r="E50" s="216"/>
      <c r="F50" t="s" s="217">
        <v>99</v>
      </c>
      <c r="G50" s="254"/>
      <c r="H50" s="254"/>
      <c r="I50" s="254"/>
      <c r="J50" s="255"/>
      <c r="K50" s="49"/>
      <c r="L50" s="10"/>
      <c r="M50" s="10"/>
      <c r="N50" s="10"/>
      <c r="O50" s="10"/>
      <c r="P50" s="10"/>
      <c r="Q50" s="10"/>
      <c r="R50" s="10"/>
      <c r="S50" s="13"/>
    </row>
    <row r="51" ht="23.25" customHeight="1">
      <c r="A51" t="s" s="226">
        <v>101</v>
      </c>
      <c r="B51" s="227"/>
      <c r="C51" t="s" s="248">
        <v>83</v>
      </c>
      <c r="D51" s="249"/>
      <c r="E51" s="249"/>
      <c r="F51" t="s" s="250">
        <v>103</v>
      </c>
      <c r="G51" s="256"/>
      <c r="H51" s="256"/>
      <c r="I51" s="256"/>
      <c r="J51" s="257"/>
      <c r="K51" s="49"/>
      <c r="L51" s="10"/>
      <c r="M51" s="10"/>
      <c r="N51" s="10"/>
      <c r="O51" s="10"/>
      <c r="P51" s="10"/>
      <c r="Q51" s="10"/>
      <c r="R51" s="10"/>
      <c r="S51" s="1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conditionalFormatting sqref="M5:M6 O5:P5 E11 G11 H18:J18 C24:H24 P27 M28 L36:P44">
    <cfRule type="cellIs" dxfId="3" priority="1" operator="lessThan" stopIfTrue="1">
      <formula>0</formula>
    </cfRule>
  </conditionalFormatting>
  <pageMargins left="0.7" right="0.7" top="0.75" bottom="0.75" header="0.3" footer="0.3"/>
  <pageSetup firstPageNumber="1" fitToHeight="1" fitToWidth="1" scale="64" useFirstPageNumber="0" orientation="portrait" pageOrder="downThenOver"/>
  <headerFooter>
    <oddFooter>&amp;C&amp;"Helvetica Neue,Regular"&amp;12&amp;K000000&amp;P</oddFooter>
  </headerFooter>
  <drawing r:id="rId1"/>
  <legacyDrawing r:id="rId2"/>
</worksheet>
</file>

<file path=xl/worksheets/sheet6.xml><?xml version="1.0" encoding="utf-8"?>
<worksheet xmlns:r="http://schemas.openxmlformats.org/officeDocument/2006/relationships" xmlns="http://schemas.openxmlformats.org/spreadsheetml/2006/main">
  <dimension ref="A1:S51"/>
  <sheetViews>
    <sheetView workbookViewId="0" showGridLines="0" defaultGridColor="1"/>
  </sheetViews>
  <sheetFormatPr defaultColWidth="8.83333" defaultRowHeight="16.5" customHeight="1" outlineLevelRow="0" outlineLevelCol="0"/>
  <cols>
    <col min="1" max="1" width="10.3516" style="259" customWidth="1"/>
    <col min="2" max="2" width="12.5" style="259" customWidth="1"/>
    <col min="3" max="3" width="12.3516" style="259" customWidth="1"/>
    <col min="4" max="4" width="11.8516" style="259" customWidth="1"/>
    <col min="5" max="5" width="12.3516" style="259" customWidth="1"/>
    <col min="6" max="6" width="11" style="259" customWidth="1"/>
    <col min="7" max="7" width="15.6719" style="259" customWidth="1"/>
    <col min="8" max="8" width="9" style="259" customWidth="1"/>
    <col min="9" max="9" width="12.3516" style="259" customWidth="1"/>
    <col min="10" max="10" width="11.8516" style="259" customWidth="1"/>
    <col min="11" max="11" width="5.5" style="259" customWidth="1"/>
    <col min="12" max="16" width="11.6719" style="259" customWidth="1"/>
    <col min="17" max="17" width="14.3516" style="259" customWidth="1"/>
    <col min="18" max="18" width="10" style="259" customWidth="1"/>
    <col min="19" max="19" width="13" style="259" customWidth="1"/>
    <col min="20" max="16384" width="8.85156" style="259" customWidth="1"/>
  </cols>
  <sheetData>
    <row r="1" ht="14.25" customHeight="1">
      <c r="A1" t="s" s="7">
        <v>6</v>
      </c>
      <c r="B1" s="8"/>
      <c r="C1" s="8"/>
      <c r="D1" s="8"/>
      <c r="E1" s="8"/>
      <c r="F1" s="9"/>
      <c r="G1" s="9"/>
      <c r="H1" s="9"/>
      <c r="I1" s="9"/>
      <c r="J1" s="9"/>
      <c r="K1" s="10"/>
      <c r="L1" t="s" s="11">
        <v>7</v>
      </c>
      <c r="M1" s="12"/>
      <c r="N1" s="12"/>
      <c r="O1" s="12"/>
      <c r="P1" s="12"/>
      <c r="Q1" s="12"/>
      <c r="R1" s="10"/>
      <c r="S1" s="13"/>
    </row>
    <row r="2" ht="27" customHeight="1">
      <c r="A2" t="s" s="14">
        <v>8</v>
      </c>
      <c r="B2" s="15"/>
      <c r="C2" s="15"/>
      <c r="D2" s="15"/>
      <c r="E2" s="15"/>
      <c r="F2" s="15"/>
      <c r="G2" s="15"/>
      <c r="H2" s="15"/>
      <c r="I2" s="15"/>
      <c r="J2" s="15"/>
      <c r="K2" s="10"/>
      <c r="L2" s="12"/>
      <c r="M2" s="12"/>
      <c r="N2" s="12"/>
      <c r="O2" s="12"/>
      <c r="P2" s="12"/>
      <c r="Q2" s="12"/>
      <c r="R2" s="10"/>
      <c r="S2" s="13"/>
    </row>
    <row r="3" ht="8" customHeight="1">
      <c r="A3" s="16"/>
      <c r="B3" s="16"/>
      <c r="C3" s="16"/>
      <c r="D3" s="16"/>
      <c r="E3" s="16"/>
      <c r="F3" s="16"/>
      <c r="G3" s="16"/>
      <c r="H3" s="16"/>
      <c r="I3" s="16"/>
      <c r="J3" s="16"/>
      <c r="K3" s="17"/>
      <c r="L3" t="s" s="18">
        <v>9</v>
      </c>
      <c r="M3" s="19"/>
      <c r="N3" s="19"/>
      <c r="O3" s="19"/>
      <c r="P3" s="19"/>
      <c r="Q3" s="10"/>
      <c r="R3" s="10"/>
      <c r="S3" s="13"/>
    </row>
    <row r="4" ht="17.25" customHeight="1">
      <c r="A4" t="s" s="20">
        <v>10</v>
      </c>
      <c r="B4" s="21"/>
      <c r="C4" t="s" s="22">
        <v>11</v>
      </c>
      <c r="D4" s="23"/>
      <c r="E4" s="236"/>
      <c r="F4" t="s" s="22">
        <v>13</v>
      </c>
      <c r="G4" s="25"/>
      <c r="H4" s="25"/>
      <c r="I4" s="25"/>
      <c r="J4" s="26"/>
      <c r="K4" s="27"/>
      <c r="L4" s="19"/>
      <c r="M4" s="19"/>
      <c r="N4" s="19"/>
      <c r="O4" s="19"/>
      <c r="P4" s="19"/>
      <c r="Q4" s="10"/>
      <c r="R4" s="10"/>
      <c r="S4" s="13"/>
    </row>
    <row r="5" ht="15" customHeight="1">
      <c r="A5" t="s" s="28">
        <v>14</v>
      </c>
      <c r="B5" s="29"/>
      <c r="C5" s="30"/>
      <c r="D5" s="30"/>
      <c r="E5" s="29"/>
      <c r="F5" s="30"/>
      <c r="G5" s="30"/>
      <c r="H5" s="30"/>
      <c r="I5" s="30"/>
      <c r="J5" s="31"/>
      <c r="K5" s="27"/>
      <c r="L5" t="s" s="32">
        <v>9</v>
      </c>
      <c r="M5" s="33"/>
      <c r="N5" s="34"/>
      <c r="O5" s="33"/>
      <c r="P5" s="33"/>
      <c r="Q5" s="35"/>
      <c r="R5" s="10"/>
      <c r="S5" s="13"/>
    </row>
    <row r="6" ht="21.75" customHeight="1">
      <c r="A6" t="s" s="36">
        <v>15</v>
      </c>
      <c r="B6" s="237"/>
      <c r="C6" s="38"/>
      <c r="D6" s="38"/>
      <c r="E6" s="39"/>
      <c r="F6" t="s" s="40">
        <v>17</v>
      </c>
      <c r="G6" s="41"/>
      <c r="H6" s="237"/>
      <c r="I6" s="38"/>
      <c r="J6" s="42"/>
      <c r="K6" s="43"/>
      <c r="L6" t="s" s="44">
        <v>19</v>
      </c>
      <c r="M6" s="45"/>
      <c r="N6" t="s" s="46">
        <v>20</v>
      </c>
      <c r="O6" s="47">
        <v>8</v>
      </c>
      <c r="P6" t="s" s="46">
        <v>21</v>
      </c>
      <c r="Q6" s="48">
        <v>6</v>
      </c>
      <c r="R6" s="49"/>
      <c r="S6" s="13"/>
    </row>
    <row r="7" ht="21.75" customHeight="1">
      <c r="A7" t="s" s="50">
        <v>22</v>
      </c>
      <c r="B7" s="51"/>
      <c r="C7" s="51"/>
      <c r="D7" s="51"/>
      <c r="E7" s="51"/>
      <c r="F7" t="s" s="52">
        <v>23</v>
      </c>
      <c r="G7" s="53"/>
      <c r="H7" s="51"/>
      <c r="I7" s="51"/>
      <c r="J7" s="54"/>
      <c r="K7" s="49"/>
      <c r="L7" s="55"/>
      <c r="M7" s="55"/>
      <c r="N7" s="55"/>
      <c r="O7" s="55"/>
      <c r="P7" s="55"/>
      <c r="Q7" s="56"/>
      <c r="R7" s="10"/>
      <c r="S7" s="13"/>
    </row>
    <row r="8" ht="18" customHeight="1">
      <c r="A8" t="s" s="57">
        <v>24</v>
      </c>
      <c r="B8" t="s" s="58">
        <v>134</v>
      </c>
      <c r="C8" s="59"/>
      <c r="D8" t="s" s="60">
        <v>135</v>
      </c>
      <c r="E8" s="59"/>
      <c r="F8" t="s" s="61">
        <v>27</v>
      </c>
      <c r="G8" t="s" s="62">
        <v>28</v>
      </c>
      <c r="H8" s="63"/>
      <c r="I8" s="63"/>
      <c r="J8" s="64"/>
      <c r="K8" s="49"/>
      <c r="L8" s="34"/>
      <c r="M8" s="34"/>
      <c r="N8" s="34"/>
      <c r="O8" s="34"/>
      <c r="P8" s="34"/>
      <c r="Q8" s="35"/>
      <c r="R8" s="10"/>
      <c r="S8" s="13"/>
    </row>
    <row r="9" ht="12" customHeight="1">
      <c r="A9" s="65"/>
      <c r="B9" t="s" s="66">
        <v>29</v>
      </c>
      <c r="C9" s="67"/>
      <c r="D9" s="67"/>
      <c r="E9" s="67"/>
      <c r="F9" s="68"/>
      <c r="G9" s="68"/>
      <c r="H9" s="68"/>
      <c r="I9" s="68"/>
      <c r="J9" s="69"/>
      <c r="K9" s="43"/>
      <c r="L9" t="s" s="70">
        <v>30</v>
      </c>
      <c r="M9" t="s" s="71">
        <v>31</v>
      </c>
      <c r="N9" t="s" s="71">
        <v>32</v>
      </c>
      <c r="O9" t="s" s="71">
        <v>33</v>
      </c>
      <c r="P9" t="s" s="71">
        <v>34</v>
      </c>
      <c r="Q9" t="s" s="72">
        <v>35</v>
      </c>
      <c r="R9" s="49"/>
      <c r="S9" s="13"/>
    </row>
    <row r="10" ht="30" customHeight="1">
      <c r="A10" s="73"/>
      <c r="B10" s="74"/>
      <c r="C10" s="75"/>
      <c r="D10" s="75"/>
      <c r="E10" s="75"/>
      <c r="F10" s="75"/>
      <c r="G10" s="75"/>
      <c r="H10" s="75"/>
      <c r="I10" s="75"/>
      <c r="J10" s="76"/>
      <c r="K10" t="s" s="77">
        <v>9</v>
      </c>
      <c r="L10" t="s" s="78">
        <v>36</v>
      </c>
      <c r="M10" s="79">
        <v>48</v>
      </c>
      <c r="N10" s="80">
        <v>1</v>
      </c>
      <c r="O10" s="81">
        <v>4.34</v>
      </c>
      <c r="P10" s="82">
        <f>M10*O10</f>
        <v>208.32</v>
      </c>
      <c r="Q10" s="83">
        <f>P10/P15</f>
        <v>0.673425054308472</v>
      </c>
      <c r="R10" s="49"/>
      <c r="S10" s="13"/>
    </row>
    <row r="11" ht="19.5" customHeight="1">
      <c r="A11" t="s" s="57">
        <v>37</v>
      </c>
      <c r="B11" t="s" s="84">
        <v>38</v>
      </c>
      <c r="C11" s="85"/>
      <c r="D11" s="86"/>
      <c r="E11" s="87">
        <f>D24</f>
        <v>80811.006517016605</v>
      </c>
      <c r="F11" t="s" s="88">
        <v>39</v>
      </c>
      <c r="G11" s="89">
        <f>E11/8</f>
        <v>10101.3758146271</v>
      </c>
      <c r="H11" t="s" s="90">
        <v>40</v>
      </c>
      <c r="I11" s="91"/>
      <c r="J11" s="92"/>
      <c r="K11" s="43"/>
      <c r="L11" t="s" s="78">
        <v>41</v>
      </c>
      <c r="M11" s="79">
        <v>9.6</v>
      </c>
      <c r="N11" s="80">
        <v>1</v>
      </c>
      <c r="O11" s="81">
        <v>4.34</v>
      </c>
      <c r="P11" s="82">
        <f>M11*O11</f>
        <v>41.664</v>
      </c>
      <c r="Q11" s="83">
        <f>P11/P15</f>
        <v>0.134685010861694</v>
      </c>
      <c r="R11" s="49"/>
      <c r="S11" s="13"/>
    </row>
    <row r="12" ht="17.25" customHeight="1">
      <c r="A12" s="65"/>
      <c r="B12" t="s" s="93">
        <v>42</v>
      </c>
      <c r="C12" s="94"/>
      <c r="D12" s="94"/>
      <c r="E12" s="95"/>
      <c r="F12" s="94"/>
      <c r="G12" s="95"/>
      <c r="H12" s="94"/>
      <c r="I12" s="94"/>
      <c r="J12" s="96"/>
      <c r="K12" s="43"/>
      <c r="L12" t="s" s="78">
        <v>43</v>
      </c>
      <c r="M12" s="79">
        <v>12</v>
      </c>
      <c r="N12" s="80">
        <v>1</v>
      </c>
      <c r="O12" s="81">
        <v>2</v>
      </c>
      <c r="P12" s="82">
        <f>M12*N12*O12</f>
        <v>24</v>
      </c>
      <c r="Q12" s="83">
        <f>P12/P15</f>
        <v>0.07758353160235849</v>
      </c>
      <c r="R12" s="98"/>
      <c r="S12" s="99"/>
    </row>
    <row r="13" ht="17.25" customHeight="1">
      <c r="A13" s="65"/>
      <c r="B13" s="100"/>
      <c r="C13" s="94"/>
      <c r="D13" s="94"/>
      <c r="E13" s="94"/>
      <c r="F13" s="94"/>
      <c r="G13" s="94"/>
      <c r="H13" s="94"/>
      <c r="I13" s="94"/>
      <c r="J13" s="96"/>
      <c r="K13" s="43"/>
      <c r="L13" t="s" s="78">
        <v>44</v>
      </c>
      <c r="M13" s="79">
        <v>8</v>
      </c>
      <c r="N13" s="80">
        <v>0.5</v>
      </c>
      <c r="O13" s="81">
        <v>4.34</v>
      </c>
      <c r="P13" s="82">
        <f>M13*N13*O13</f>
        <v>17.36</v>
      </c>
      <c r="Q13" s="101">
        <f>P13/P15</f>
        <v>0.056118754525706</v>
      </c>
      <c r="R13" s="49"/>
      <c r="S13" s="13"/>
    </row>
    <row r="14" ht="17.25" customHeight="1">
      <c r="A14" s="65"/>
      <c r="B14" s="100"/>
      <c r="C14" s="94"/>
      <c r="D14" s="94"/>
      <c r="E14" s="94"/>
      <c r="F14" s="94"/>
      <c r="G14" s="94"/>
      <c r="H14" s="94"/>
      <c r="I14" s="94"/>
      <c r="J14" s="96"/>
      <c r="K14" s="43"/>
      <c r="L14" t="s" s="78">
        <v>45</v>
      </c>
      <c r="M14" s="81">
        <v>0</v>
      </c>
      <c r="N14" s="80"/>
      <c r="O14" s="81">
        <v>0</v>
      </c>
      <c r="P14" s="82">
        <v>18</v>
      </c>
      <c r="Q14" s="101">
        <f>P14/P15</f>
        <v>0.0581876487017689</v>
      </c>
      <c r="R14" s="49"/>
      <c r="S14" s="13"/>
    </row>
    <row r="15" ht="13.5" customHeight="1">
      <c r="A15" s="65"/>
      <c r="B15" t="s" s="102">
        <v>46</v>
      </c>
      <c r="C15" s="68"/>
      <c r="D15" s="68"/>
      <c r="E15" s="68"/>
      <c r="F15" s="68"/>
      <c r="G15" s="68"/>
      <c r="H15" s="68"/>
      <c r="I15" s="68"/>
      <c r="J15" s="69"/>
      <c r="K15" s="43"/>
      <c r="L15" t="s" s="103">
        <v>47</v>
      </c>
      <c r="M15" s="104"/>
      <c r="N15" s="104"/>
      <c r="O15" s="105">
        <v>0</v>
      </c>
      <c r="P15" s="106">
        <f>SUM(P10:P14)</f>
        <v>309.344</v>
      </c>
      <c r="Q15" s="107">
        <f>SUM(Q10:Q14)</f>
        <v>0.999999999999999</v>
      </c>
      <c r="R15" s="49"/>
      <c r="S15" s="13"/>
    </row>
    <row r="16" ht="13.5" customHeight="1">
      <c r="A16" s="65"/>
      <c r="B16" s="108"/>
      <c r="C16" s="68"/>
      <c r="D16" s="68"/>
      <c r="E16" s="68"/>
      <c r="F16" s="68"/>
      <c r="G16" s="68"/>
      <c r="H16" s="68"/>
      <c r="I16" s="68"/>
      <c r="J16" s="69"/>
      <c r="K16" s="49"/>
      <c r="L16" s="56"/>
      <c r="M16" s="56"/>
      <c r="N16" s="56"/>
      <c r="O16" s="56"/>
      <c r="P16" s="56"/>
      <c r="Q16" s="56"/>
      <c r="R16" s="10"/>
      <c r="S16" s="13"/>
    </row>
    <row r="17" ht="21" customHeight="1">
      <c r="A17" s="65"/>
      <c r="B17" t="s" s="102">
        <v>48</v>
      </c>
      <c r="C17" s="68"/>
      <c r="D17" s="68"/>
      <c r="E17" s="68"/>
      <c r="F17" s="68"/>
      <c r="G17" s="109"/>
      <c r="H17" s="109"/>
      <c r="I17" s="109"/>
      <c r="J17" s="110"/>
      <c r="K17" s="49"/>
      <c r="L17" s="111"/>
      <c r="M17" s="112"/>
      <c r="N17" t="s" s="113">
        <v>49</v>
      </c>
      <c r="O17" s="114"/>
      <c r="P17" s="114"/>
      <c r="Q17" s="115">
        <v>9620</v>
      </c>
      <c r="R17" s="10"/>
      <c r="S17" s="13"/>
    </row>
    <row r="18" ht="15.75" customHeight="1">
      <c r="A18" s="65"/>
      <c r="B18" t="s" s="116">
        <v>108</v>
      </c>
      <c r="C18" s="117"/>
      <c r="D18" s="117"/>
      <c r="E18" s="117"/>
      <c r="F18" s="118"/>
      <c r="G18" s="119">
        <v>120000</v>
      </c>
      <c r="H18" t="s" s="120">
        <v>51</v>
      </c>
      <c r="I18" s="121"/>
      <c r="J18" s="122"/>
      <c r="K18" s="49"/>
      <c r="L18" s="111"/>
      <c r="M18" s="112"/>
      <c r="N18" s="10"/>
      <c r="O18" s="10"/>
      <c r="P18" s="123"/>
      <c r="Q18" s="10"/>
      <c r="R18" s="10"/>
      <c r="S18" s="13"/>
    </row>
    <row r="19" ht="15.75" customHeight="1">
      <c r="A19" s="65"/>
      <c r="B19" t="s" s="124">
        <v>121</v>
      </c>
      <c r="C19" s="125"/>
      <c r="D19" s="125"/>
      <c r="E19" s="125"/>
      <c r="F19" s="125"/>
      <c r="G19" s="126"/>
      <c r="H19" s="126"/>
      <c r="I19" s="126"/>
      <c r="J19" s="127"/>
      <c r="K19" s="49"/>
      <c r="L19" t="s" s="128">
        <v>53</v>
      </c>
      <c r="M19" s="129"/>
      <c r="N19" s="129"/>
      <c r="O19" s="129"/>
      <c r="P19" s="129"/>
      <c r="Q19" s="130"/>
      <c r="R19" s="10"/>
      <c r="S19" s="13"/>
    </row>
    <row r="20" ht="15.75" customHeight="1">
      <c r="A20" s="65"/>
      <c r="B20" t="s" s="124">
        <v>54</v>
      </c>
      <c r="C20" s="125"/>
      <c r="D20" s="125"/>
      <c r="E20" s="125"/>
      <c r="F20" s="125"/>
      <c r="G20" s="125"/>
      <c r="H20" s="125"/>
      <c r="I20" s="125"/>
      <c r="J20" s="131"/>
      <c r="K20" s="49"/>
      <c r="L20" t="s" s="128">
        <v>55</v>
      </c>
      <c r="M20" s="129"/>
      <c r="N20" s="129"/>
      <c r="O20" s="129"/>
      <c r="P20" s="129"/>
      <c r="Q20" s="130"/>
      <c r="R20" s="10"/>
      <c r="S20" s="13"/>
    </row>
    <row r="21" ht="15.75" customHeight="1">
      <c r="A21" s="73"/>
      <c r="B21" t="s" s="132">
        <v>122</v>
      </c>
      <c r="C21" s="133"/>
      <c r="D21" s="133"/>
      <c r="E21" s="133"/>
      <c r="F21" s="133"/>
      <c r="G21" s="133"/>
      <c r="H21" s="133"/>
      <c r="I21" s="133"/>
      <c r="J21" s="134"/>
      <c r="K21" s="49"/>
      <c r="L21" t="s" s="128">
        <v>57</v>
      </c>
      <c r="M21" s="129"/>
      <c r="N21" s="129"/>
      <c r="O21" s="129"/>
      <c r="P21" s="129"/>
      <c r="Q21" s="130"/>
      <c r="R21" s="10"/>
      <c r="S21" s="13"/>
    </row>
    <row r="22" ht="18.75" customHeight="1">
      <c r="A22" t="s" s="135">
        <v>58</v>
      </c>
      <c r="B22" t="s" s="136">
        <v>59</v>
      </c>
      <c r="C22" s="137"/>
      <c r="D22" t="s" s="138">
        <v>36</v>
      </c>
      <c r="E22" t="s" s="138">
        <v>60</v>
      </c>
      <c r="F22" t="s" s="138">
        <v>43</v>
      </c>
      <c r="G22" t="s" s="139">
        <v>61</v>
      </c>
      <c r="H22" s="140"/>
      <c r="I22" t="s" s="139">
        <v>45</v>
      </c>
      <c r="J22" s="141"/>
      <c r="K22" s="49"/>
      <c r="L22" t="s" s="128">
        <v>62</v>
      </c>
      <c r="M22" s="129"/>
      <c r="N22" s="129"/>
      <c r="O22" s="129"/>
      <c r="P22" s="129"/>
      <c r="Q22" s="130"/>
      <c r="R22" s="129"/>
      <c r="S22" s="142"/>
    </row>
    <row r="23" ht="18.75" customHeight="1">
      <c r="A23" s="143"/>
      <c r="B23" t="s" s="144">
        <v>63</v>
      </c>
      <c r="C23" s="145"/>
      <c r="D23" s="146">
        <f>Q10</f>
        <v>0.673425054308472</v>
      </c>
      <c r="E23" s="146">
        <f>Q11</f>
        <v>0.134685010861694</v>
      </c>
      <c r="F23" s="146">
        <f>Q12</f>
        <v>0.07758353160235849</v>
      </c>
      <c r="G23" s="147">
        <f>Q13</f>
        <v>0.056118754525706</v>
      </c>
      <c r="H23" s="148"/>
      <c r="I23" s="147">
        <f>Q14</f>
        <v>0.0581876487017689</v>
      </c>
      <c r="J23" s="149"/>
      <c r="K23" s="49"/>
      <c r="L23" s="129"/>
      <c r="M23" s="129"/>
      <c r="N23" s="129"/>
      <c r="O23" s="129"/>
      <c r="P23" s="129"/>
      <c r="Q23" s="129"/>
      <c r="R23" s="129"/>
      <c r="S23" s="142"/>
    </row>
    <row r="24" ht="18.75" customHeight="1">
      <c r="A24" s="150"/>
      <c r="B24" t="s" s="151">
        <v>64</v>
      </c>
      <c r="C24" s="152">
        <f>G11</f>
        <v>10101.3758146271</v>
      </c>
      <c r="D24" s="153">
        <f>G18*$D$23</f>
        <v>80811.006517016605</v>
      </c>
      <c r="E24" s="153">
        <f>G18*$E$23</f>
        <v>16162.2013034033</v>
      </c>
      <c r="F24" s="153">
        <f>G18*$F$23</f>
        <v>9310.023792283020</v>
      </c>
      <c r="G24" s="154">
        <f>G18*$G$23</f>
        <v>6734.250543084720</v>
      </c>
      <c r="H24" s="155"/>
      <c r="I24" s="156">
        <f>G18*$I$23</f>
        <v>6982.517844212270</v>
      </c>
      <c r="J24" s="157"/>
      <c r="K24" s="49"/>
      <c r="L24" s="129"/>
      <c r="M24" s="129"/>
      <c r="N24" s="129"/>
      <c r="O24" s="129"/>
      <c r="P24" s="129"/>
      <c r="Q24" s="129"/>
      <c r="R24" s="129"/>
      <c r="S24" s="142"/>
    </row>
    <row r="25" ht="54.75" customHeight="1">
      <c r="A25" t="s" s="135">
        <v>65</v>
      </c>
      <c r="B25" t="s" s="158">
        <v>123</v>
      </c>
      <c r="C25" s="159"/>
      <c r="D25" s="159"/>
      <c r="E25" s="159"/>
      <c r="F25" s="159"/>
      <c r="G25" s="159"/>
      <c r="H25" s="159"/>
      <c r="I25" s="159"/>
      <c r="J25" s="160"/>
      <c r="K25" s="49"/>
      <c r="L25" t="s" s="128">
        <v>9</v>
      </c>
      <c r="M25" s="129"/>
      <c r="N25" s="129"/>
      <c r="O25" s="129"/>
      <c r="P25" s="129"/>
      <c r="Q25" s="130"/>
      <c r="R25" s="10"/>
      <c r="S25" s="142"/>
    </row>
    <row r="26" ht="66.75" customHeight="1">
      <c r="A26" s="73"/>
      <c r="B26" s="74"/>
      <c r="C26" s="75"/>
      <c r="D26" s="75"/>
      <c r="E26" s="75"/>
      <c r="F26" s="75"/>
      <c r="G26" s="75"/>
      <c r="H26" s="75"/>
      <c r="I26" s="75"/>
      <c r="J26" s="76"/>
      <c r="K26" s="49"/>
      <c r="L26" t="s" s="128">
        <v>9</v>
      </c>
      <c r="M26" s="129"/>
      <c r="N26" s="129"/>
      <c r="O26" s="129"/>
      <c r="P26" s="129"/>
      <c r="Q26" s="130"/>
      <c r="R26" s="10"/>
      <c r="S26" s="142"/>
    </row>
    <row r="27" ht="27.75" customHeight="1">
      <c r="A27" t="s" s="57">
        <v>67</v>
      </c>
      <c r="B27" t="s" s="158">
        <v>68</v>
      </c>
      <c r="C27" s="159"/>
      <c r="D27" s="159"/>
      <c r="E27" s="159"/>
      <c r="F27" s="159"/>
      <c r="G27" s="159"/>
      <c r="H27" s="159"/>
      <c r="I27" s="159"/>
      <c r="J27" s="160"/>
      <c r="K27" s="49"/>
      <c r="L27" s="161">
        <f>C24*8</f>
        <v>80811.006517016795</v>
      </c>
      <c r="M27" s="162">
        <f>E24*5</f>
        <v>80811.0065170165</v>
      </c>
      <c r="N27" s="129"/>
      <c r="O27" s="162"/>
      <c r="P27" s="163"/>
      <c r="Q27" s="162"/>
      <c r="R27" s="164"/>
      <c r="S27" s="165"/>
    </row>
    <row r="28" ht="27.75" customHeight="1">
      <c r="A28" s="73"/>
      <c r="B28" s="74"/>
      <c r="C28" s="75"/>
      <c r="D28" s="75"/>
      <c r="E28" s="75"/>
      <c r="F28" s="75"/>
      <c r="G28" s="75"/>
      <c r="H28" s="75"/>
      <c r="I28" s="75"/>
      <c r="J28" s="76"/>
      <c r="K28" s="49"/>
      <c r="L28" s="161"/>
      <c r="M28" s="163"/>
      <c r="N28" s="10"/>
      <c r="O28" s="10"/>
      <c r="P28" s="10"/>
      <c r="Q28" s="10"/>
      <c r="R28" s="164"/>
      <c r="S28" s="165"/>
    </row>
    <row r="29" ht="40.5" customHeight="1">
      <c r="A29" t="s" s="166">
        <v>69</v>
      </c>
      <c r="B29" t="s" s="167">
        <v>70</v>
      </c>
      <c r="C29" s="168"/>
      <c r="D29" s="168"/>
      <c r="E29" s="168"/>
      <c r="F29" s="168"/>
      <c r="G29" s="168"/>
      <c r="H29" s="168"/>
      <c r="I29" s="168"/>
      <c r="J29" s="169"/>
      <c r="K29" s="49"/>
      <c r="L29" t="s" s="170">
        <v>71</v>
      </c>
      <c r="M29" s="171"/>
      <c r="N29" s="171"/>
      <c r="O29" s="171"/>
      <c r="P29" s="171"/>
      <c r="Q29" s="171"/>
      <c r="R29" s="164"/>
      <c r="S29" s="165"/>
    </row>
    <row r="30" ht="23.25" customHeight="1">
      <c r="A30" t="s" s="135">
        <v>72</v>
      </c>
      <c r="B30" t="s" s="158">
        <v>73</v>
      </c>
      <c r="C30" s="159"/>
      <c r="D30" s="159"/>
      <c r="E30" s="159"/>
      <c r="F30" s="159"/>
      <c r="G30" s="159"/>
      <c r="H30" s="159"/>
      <c r="I30" s="159"/>
      <c r="J30" s="160"/>
      <c r="K30" s="49"/>
      <c r="L30" s="171"/>
      <c r="M30" s="171"/>
      <c r="N30" s="171"/>
      <c r="O30" s="171"/>
      <c r="P30" s="171"/>
      <c r="Q30" s="171"/>
      <c r="R30" s="164"/>
      <c r="S30" s="164"/>
    </row>
    <row r="31" ht="23.25" customHeight="1">
      <c r="A31" s="143"/>
      <c r="B31" s="108"/>
      <c r="C31" s="68"/>
      <c r="D31" s="68"/>
      <c r="E31" s="68"/>
      <c r="F31" s="68"/>
      <c r="G31" s="68"/>
      <c r="H31" s="68"/>
      <c r="I31" s="68"/>
      <c r="J31" s="69"/>
      <c r="K31" s="49"/>
      <c r="L31" s="171"/>
      <c r="M31" s="171"/>
      <c r="N31" s="171"/>
      <c r="O31" s="171"/>
      <c r="P31" s="171"/>
      <c r="Q31" s="171"/>
      <c r="R31" s="10"/>
      <c r="S31" s="142"/>
    </row>
    <row r="32" ht="23.25" customHeight="1">
      <c r="A32" s="143"/>
      <c r="B32" s="108"/>
      <c r="C32" s="68"/>
      <c r="D32" s="68"/>
      <c r="E32" s="68"/>
      <c r="F32" s="68"/>
      <c r="G32" s="68"/>
      <c r="H32" s="68"/>
      <c r="I32" s="68"/>
      <c r="J32" s="69"/>
      <c r="K32" s="49"/>
      <c r="L32" s="171"/>
      <c r="M32" s="171"/>
      <c r="N32" s="171"/>
      <c r="O32" s="171"/>
      <c r="P32" s="171"/>
      <c r="Q32" s="171"/>
      <c r="R32" s="10"/>
      <c r="S32" s="142"/>
    </row>
    <row r="33" ht="23.25" customHeight="1">
      <c r="A33" s="143"/>
      <c r="B33" s="108"/>
      <c r="C33" s="68"/>
      <c r="D33" s="68"/>
      <c r="E33" s="68"/>
      <c r="F33" s="68"/>
      <c r="G33" s="68"/>
      <c r="H33" s="68"/>
      <c r="I33" s="68"/>
      <c r="J33" s="69"/>
      <c r="K33" s="49"/>
      <c r="L33" s="172"/>
      <c r="M33" s="172"/>
      <c r="N33" s="172"/>
      <c r="O33" s="172"/>
      <c r="P33" s="172"/>
      <c r="Q33" s="10"/>
      <c r="R33" s="10"/>
      <c r="S33" s="142"/>
    </row>
    <row r="34" ht="23.25" customHeight="1">
      <c r="A34" s="143"/>
      <c r="B34" s="108"/>
      <c r="C34" s="68"/>
      <c r="D34" s="68"/>
      <c r="E34" s="68"/>
      <c r="F34" s="68"/>
      <c r="G34" s="68"/>
      <c r="H34" s="68"/>
      <c r="I34" s="68"/>
      <c r="J34" s="69"/>
      <c r="K34" s="173"/>
      <c r="L34" s="174"/>
      <c r="M34" s="174"/>
      <c r="N34" s="174"/>
      <c r="O34" s="174"/>
      <c r="P34" s="174"/>
      <c r="Q34" s="175"/>
      <c r="R34" s="10"/>
      <c r="S34" s="142"/>
    </row>
    <row r="35" ht="28.5" customHeight="1">
      <c r="A35" s="150"/>
      <c r="B35" s="74"/>
      <c r="C35" s="75"/>
      <c r="D35" s="75"/>
      <c r="E35" s="75"/>
      <c r="F35" s="75"/>
      <c r="G35" s="75"/>
      <c r="H35" s="75"/>
      <c r="I35" s="75"/>
      <c r="J35" s="76"/>
      <c r="K35" s="173"/>
      <c r="L35" s="176"/>
      <c r="M35" s="176"/>
      <c r="N35" s="176"/>
      <c r="O35" s="176"/>
      <c r="P35" s="176"/>
      <c r="Q35" s="177"/>
      <c r="R35" s="178"/>
      <c r="S35" s="142"/>
    </row>
    <row r="36" ht="21" customHeight="1">
      <c r="A36" t="s" s="135">
        <v>74</v>
      </c>
      <c r="B36" t="s" s="158">
        <v>124</v>
      </c>
      <c r="C36" s="159"/>
      <c r="D36" s="159"/>
      <c r="E36" s="159"/>
      <c r="F36" s="159"/>
      <c r="G36" s="159"/>
      <c r="H36" s="159"/>
      <c r="I36" s="159"/>
      <c r="J36" s="160"/>
      <c r="K36" s="173"/>
      <c r="L36" s="179"/>
      <c r="M36" s="179"/>
      <c r="N36" s="179"/>
      <c r="O36" s="179"/>
      <c r="P36" s="179"/>
      <c r="Q36" s="180"/>
      <c r="R36" s="181"/>
      <c r="S36" s="182"/>
    </row>
    <row r="37" ht="19.5" customHeight="1">
      <c r="A37" s="143"/>
      <c r="B37" s="108"/>
      <c r="C37" s="68"/>
      <c r="D37" s="68"/>
      <c r="E37" s="68"/>
      <c r="F37" s="68"/>
      <c r="G37" s="68"/>
      <c r="H37" s="68"/>
      <c r="I37" s="68"/>
      <c r="J37" s="69"/>
      <c r="K37" s="173"/>
      <c r="L37" s="183"/>
      <c r="M37" s="183"/>
      <c r="N37" s="183"/>
      <c r="O37" s="183"/>
      <c r="P37" s="183"/>
      <c r="Q37" s="184"/>
      <c r="R37" s="185"/>
      <c r="S37" s="182"/>
    </row>
    <row r="38" ht="19.5" customHeight="1">
      <c r="A38" s="143"/>
      <c r="B38" s="108"/>
      <c r="C38" s="68"/>
      <c r="D38" s="68"/>
      <c r="E38" s="68"/>
      <c r="F38" s="68"/>
      <c r="G38" s="68"/>
      <c r="H38" s="68"/>
      <c r="I38" s="68"/>
      <c r="J38" s="69"/>
      <c r="K38" s="173"/>
      <c r="L38" s="186"/>
      <c r="M38" s="186"/>
      <c r="N38" s="186"/>
      <c r="O38" s="186"/>
      <c r="P38" s="186"/>
      <c r="Q38" s="187"/>
      <c r="R38" s="188"/>
      <c r="S38" s="182"/>
    </row>
    <row r="39" ht="19.5" customHeight="1">
      <c r="A39" s="143"/>
      <c r="B39" s="108"/>
      <c r="C39" s="68"/>
      <c r="D39" s="68"/>
      <c r="E39" s="68"/>
      <c r="F39" s="68"/>
      <c r="G39" s="68"/>
      <c r="H39" s="68"/>
      <c r="I39" s="68"/>
      <c r="J39" s="69"/>
      <c r="K39" s="173"/>
      <c r="L39" s="186"/>
      <c r="M39" s="186"/>
      <c r="N39" s="186"/>
      <c r="O39" s="186"/>
      <c r="P39" s="186"/>
      <c r="Q39" s="187"/>
      <c r="R39" s="188"/>
      <c r="S39" s="182"/>
    </row>
    <row r="40" ht="19.5" customHeight="1">
      <c r="A40" s="150"/>
      <c r="B40" s="74"/>
      <c r="C40" s="75"/>
      <c r="D40" s="75"/>
      <c r="E40" s="75"/>
      <c r="F40" s="75"/>
      <c r="G40" s="75"/>
      <c r="H40" s="75"/>
      <c r="I40" s="75"/>
      <c r="J40" s="76"/>
      <c r="K40" s="173"/>
      <c r="L40" s="186"/>
      <c r="M40" s="186"/>
      <c r="N40" s="186"/>
      <c r="O40" s="186"/>
      <c r="P40" s="186"/>
      <c r="Q40" s="187"/>
      <c r="R40" s="188"/>
      <c r="S40" s="182"/>
    </row>
    <row r="41" ht="17.1" customHeight="1">
      <c r="A41" t="s" s="135">
        <v>76</v>
      </c>
      <c r="B41" t="s" s="167">
        <v>77</v>
      </c>
      <c r="C41" s="168"/>
      <c r="D41" s="168"/>
      <c r="E41" s="168"/>
      <c r="F41" s="168"/>
      <c r="G41" s="168"/>
      <c r="H41" s="168"/>
      <c r="I41" s="168"/>
      <c r="J41" s="169"/>
      <c r="K41" s="173"/>
      <c r="L41" s="186"/>
      <c r="M41" s="186"/>
      <c r="N41" s="186"/>
      <c r="O41" s="186"/>
      <c r="P41" s="186"/>
      <c r="Q41" s="187"/>
      <c r="R41" s="188"/>
      <c r="S41" s="182"/>
    </row>
    <row r="42" ht="19.5" customHeight="1">
      <c r="A42" s="143"/>
      <c r="B42" t="s" s="189">
        <v>78</v>
      </c>
      <c r="C42" s="190"/>
      <c r="D42" t="s" s="189">
        <v>79</v>
      </c>
      <c r="E42" s="190"/>
      <c r="F42" t="s" s="189">
        <v>80</v>
      </c>
      <c r="G42" s="190"/>
      <c r="H42" t="s" s="189">
        <v>81</v>
      </c>
      <c r="I42" s="190"/>
      <c r="J42" t="s" s="191">
        <v>82</v>
      </c>
      <c r="K42" s="192"/>
      <c r="L42" s="186"/>
      <c r="M42" s="186"/>
      <c r="N42" s="186"/>
      <c r="O42" s="186"/>
      <c r="P42" s="186"/>
      <c r="Q42" s="187"/>
      <c r="R42" s="188"/>
      <c r="S42" s="182"/>
    </row>
    <row r="43" ht="19.5" customHeight="1">
      <c r="A43" s="143"/>
      <c r="B43" t="s" s="193">
        <v>83</v>
      </c>
      <c r="C43" s="194"/>
      <c r="D43" t="s" s="193">
        <v>83</v>
      </c>
      <c r="E43" s="194"/>
      <c r="F43" t="s" s="193">
        <v>83</v>
      </c>
      <c r="G43" s="194"/>
      <c r="H43" t="s" s="193">
        <v>83</v>
      </c>
      <c r="I43" s="194"/>
      <c r="J43" t="s" s="195">
        <v>83</v>
      </c>
      <c r="K43" s="192"/>
      <c r="L43" s="186"/>
      <c r="M43" s="186"/>
      <c r="N43" s="186"/>
      <c r="O43" s="186"/>
      <c r="P43" s="186"/>
      <c r="Q43" s="187"/>
      <c r="R43" s="188"/>
      <c r="S43" s="182"/>
    </row>
    <row r="44" ht="19.5" customHeight="1">
      <c r="A44" s="150"/>
      <c r="B44" t="s" s="167">
        <v>125</v>
      </c>
      <c r="C44" s="168"/>
      <c r="D44" s="168"/>
      <c r="E44" s="168"/>
      <c r="F44" s="168"/>
      <c r="G44" s="168"/>
      <c r="H44" s="168"/>
      <c r="I44" s="168"/>
      <c r="J44" s="169"/>
      <c r="K44" s="173"/>
      <c r="L44" s="186"/>
      <c r="M44" s="186"/>
      <c r="N44" s="186"/>
      <c r="O44" s="186"/>
      <c r="P44" s="186"/>
      <c r="Q44" s="187"/>
      <c r="R44" s="188"/>
      <c r="S44" s="182"/>
    </row>
    <row r="45" ht="21" customHeight="1">
      <c r="A45" t="s" s="196">
        <v>85</v>
      </c>
      <c r="B45" t="s" s="197">
        <v>126</v>
      </c>
      <c r="C45" s="198"/>
      <c r="D45" s="198"/>
      <c r="E45" s="198"/>
      <c r="F45" s="198"/>
      <c r="G45" s="198"/>
      <c r="H45" s="198"/>
      <c r="I45" s="198"/>
      <c r="J45" s="199"/>
      <c r="K45" s="49"/>
      <c r="L45" s="200"/>
      <c r="M45" s="200"/>
      <c r="N45" s="200"/>
      <c r="O45" s="200"/>
      <c r="P45" s="200"/>
      <c r="Q45" s="10"/>
      <c r="R45" s="200"/>
      <c r="S45" s="142"/>
    </row>
    <row r="46" ht="19.5" customHeight="1">
      <c r="A46" t="s" s="201">
        <v>136</v>
      </c>
      <c r="B46" s="202"/>
      <c r="C46" s="202"/>
      <c r="D46" s="202"/>
      <c r="E46" s="202"/>
      <c r="F46" s="202"/>
      <c r="G46" s="202"/>
      <c r="H46" s="202"/>
      <c r="I46" s="202"/>
      <c r="J46" s="203"/>
      <c r="K46" s="49"/>
      <c r="L46" s="10"/>
      <c r="M46" s="10"/>
      <c r="N46" s="10"/>
      <c r="O46" s="10"/>
      <c r="P46" s="10"/>
      <c r="Q46" s="10"/>
      <c r="R46" s="10"/>
      <c r="S46" s="13"/>
    </row>
    <row r="47" ht="23.25" customHeight="1">
      <c r="A47" t="s" s="204">
        <v>88</v>
      </c>
      <c r="B47" s="205"/>
      <c r="C47" s="205"/>
      <c r="D47" s="205"/>
      <c r="E47" s="205"/>
      <c r="F47" t="s" s="206">
        <v>89</v>
      </c>
      <c r="G47" s="205"/>
      <c r="H47" s="205"/>
      <c r="I47" s="205"/>
      <c r="J47" s="207"/>
      <c r="K47" s="49"/>
      <c r="L47" s="10"/>
      <c r="M47" s="10"/>
      <c r="N47" s="10"/>
      <c r="O47" s="10"/>
      <c r="P47" s="10"/>
      <c r="Q47" s="10"/>
      <c r="R47" s="10"/>
      <c r="S47" s="161"/>
    </row>
    <row r="48" ht="23.25" customHeight="1">
      <c r="A48" t="s" s="208">
        <v>90</v>
      </c>
      <c r="B48" s="209"/>
      <c r="C48" t="s" s="210">
        <f>A4</f>
        <v>91</v>
      </c>
      <c r="D48" s="209"/>
      <c r="E48" s="209"/>
      <c r="F48" t="s" s="211">
        <v>92</v>
      </c>
      <c r="G48" t="s" s="211">
        <v>137</v>
      </c>
      <c r="H48" s="260"/>
      <c r="I48" s="260"/>
      <c r="J48" s="261"/>
      <c r="K48" s="49"/>
      <c r="L48" s="10"/>
      <c r="M48" s="10"/>
      <c r="N48" s="10"/>
      <c r="O48" s="10"/>
      <c r="P48" s="10"/>
      <c r="Q48" s="10"/>
      <c r="R48" s="10"/>
      <c r="S48" s="13"/>
    </row>
    <row r="49" ht="23.25" customHeight="1">
      <c r="A49" t="s" s="215">
        <v>94</v>
      </c>
      <c r="B49" s="216"/>
      <c r="C49" t="s" s="217">
        <v>95</v>
      </c>
      <c r="D49" s="216"/>
      <c r="E49" s="216"/>
      <c r="F49" t="s" s="246">
        <v>96</v>
      </c>
      <c r="G49" s="216"/>
      <c r="H49" s="216"/>
      <c r="I49" s="216"/>
      <c r="J49" s="247"/>
      <c r="K49" s="49"/>
      <c r="L49" s="10"/>
      <c r="M49" s="10"/>
      <c r="N49" s="10"/>
      <c r="O49" s="10"/>
      <c r="P49" s="10"/>
      <c r="Q49" s="10"/>
      <c r="R49" s="10"/>
      <c r="S49" s="13"/>
    </row>
    <row r="50" ht="23.25" customHeight="1">
      <c r="A50" t="s" s="215">
        <v>98</v>
      </c>
      <c r="B50" s="216"/>
      <c r="C50" s="216"/>
      <c r="D50" s="216"/>
      <c r="E50" s="216"/>
      <c r="F50" t="s" s="217">
        <v>99</v>
      </c>
      <c r="G50" s="216"/>
      <c r="H50" s="216"/>
      <c r="I50" s="216"/>
      <c r="J50" s="247"/>
      <c r="K50" s="49"/>
      <c r="L50" s="10"/>
      <c r="M50" s="10"/>
      <c r="N50" s="10"/>
      <c r="O50" s="10"/>
      <c r="P50" s="10"/>
      <c r="Q50" s="10"/>
      <c r="R50" s="10"/>
      <c r="S50" s="13"/>
    </row>
    <row r="51" ht="23.25" customHeight="1">
      <c r="A51" t="s" s="226">
        <v>101</v>
      </c>
      <c r="B51" s="227"/>
      <c r="C51" t="s" s="248">
        <v>138</v>
      </c>
      <c r="D51" s="249"/>
      <c r="E51" s="249"/>
      <c r="F51" t="s" s="250">
        <v>103</v>
      </c>
      <c r="G51" s="227"/>
      <c r="H51" s="227"/>
      <c r="I51" s="227"/>
      <c r="J51" s="251"/>
      <c r="K51" s="49"/>
      <c r="L51" s="10"/>
      <c r="M51" s="10"/>
      <c r="N51" s="10"/>
      <c r="O51" s="10"/>
      <c r="P51" s="10"/>
      <c r="Q51" s="10"/>
      <c r="R51" s="10"/>
      <c r="S51" s="1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conditionalFormatting sqref="M5:M6 O5:P5 E11 G11 H18:J18 C24:H24 P27 M28 L36:P44">
    <cfRule type="cellIs" dxfId="4" priority="1" operator="lessThan" stopIfTrue="1">
      <formula>0</formula>
    </cfRule>
  </conditionalFormatting>
  <pageMargins left="0.7" right="0.7" top="0.75" bottom="0.75" header="0.3" footer="0.3"/>
  <pageSetup firstPageNumber="1" fitToHeight="1" fitToWidth="1" scale="65" useFirstPageNumber="0" orientation="portrait" pageOrder="downThenOver"/>
  <headerFooter>
    <oddFooter>&amp;C&amp;"Helvetica Neue,Regular"&amp;12&amp;K000000&amp;P</oddFooter>
  </headerFooter>
  <drawing r:id="rId1"/>
  <legacyDrawing r:id="rId2"/>
</worksheet>
</file>

<file path=xl/worksheets/sheet7.xml><?xml version="1.0" encoding="utf-8"?>
<worksheet xmlns:r="http://schemas.openxmlformats.org/officeDocument/2006/relationships" xmlns="http://schemas.openxmlformats.org/spreadsheetml/2006/main">
  <dimension ref="A1:S51"/>
  <sheetViews>
    <sheetView workbookViewId="0" showGridLines="0" defaultGridColor="1"/>
  </sheetViews>
  <sheetFormatPr defaultColWidth="8.83333" defaultRowHeight="16.5" customHeight="1" outlineLevelRow="0" outlineLevelCol="0"/>
  <cols>
    <col min="1" max="1" width="10.3516" style="262" customWidth="1"/>
    <col min="2" max="2" width="12.5" style="262" customWidth="1"/>
    <col min="3" max="3" width="12.3516" style="262" customWidth="1"/>
    <col min="4" max="4" width="11.8516" style="262" customWidth="1"/>
    <col min="5" max="5" width="12.3516" style="262" customWidth="1"/>
    <col min="6" max="6" width="11" style="262" customWidth="1"/>
    <col min="7" max="7" width="15.6719" style="262" customWidth="1"/>
    <col min="8" max="8" width="9" style="262" customWidth="1"/>
    <col min="9" max="9" width="12.3516" style="262" customWidth="1"/>
    <col min="10" max="10" width="11.8516" style="262" customWidth="1"/>
    <col min="11" max="11" width="5.5" style="262" customWidth="1"/>
    <col min="12" max="16" width="11.6719" style="262" customWidth="1"/>
    <col min="17" max="17" width="14.3516" style="262" customWidth="1"/>
    <col min="18" max="18" width="10" style="262" customWidth="1"/>
    <col min="19" max="19" width="13" style="262" customWidth="1"/>
    <col min="20" max="16384" width="8.85156" style="262" customWidth="1"/>
  </cols>
  <sheetData>
    <row r="1" ht="14.25" customHeight="1">
      <c r="A1" t="s" s="7">
        <v>6</v>
      </c>
      <c r="B1" s="8"/>
      <c r="C1" s="8"/>
      <c r="D1" s="8"/>
      <c r="E1" s="8"/>
      <c r="F1" s="9"/>
      <c r="G1" s="9"/>
      <c r="H1" s="9"/>
      <c r="I1" s="9"/>
      <c r="J1" s="9"/>
      <c r="K1" s="10"/>
      <c r="L1" t="s" s="11">
        <v>7</v>
      </c>
      <c r="M1" s="12"/>
      <c r="N1" s="12"/>
      <c r="O1" s="12"/>
      <c r="P1" s="12"/>
      <c r="Q1" s="12"/>
      <c r="R1" s="10"/>
      <c r="S1" s="13"/>
    </row>
    <row r="2" ht="27" customHeight="1">
      <c r="A2" t="s" s="14">
        <v>8</v>
      </c>
      <c r="B2" s="15"/>
      <c r="C2" s="15"/>
      <c r="D2" s="15"/>
      <c r="E2" s="15"/>
      <c r="F2" s="15"/>
      <c r="G2" s="15"/>
      <c r="H2" s="15"/>
      <c r="I2" s="15"/>
      <c r="J2" s="15"/>
      <c r="K2" s="10"/>
      <c r="L2" s="12"/>
      <c r="M2" s="12"/>
      <c r="N2" s="12"/>
      <c r="O2" s="12"/>
      <c r="P2" s="12"/>
      <c r="Q2" s="12"/>
      <c r="R2" s="10"/>
      <c r="S2" s="13"/>
    </row>
    <row r="3" ht="8" customHeight="1">
      <c r="A3" s="16"/>
      <c r="B3" s="16"/>
      <c r="C3" s="16"/>
      <c r="D3" s="16"/>
      <c r="E3" s="16"/>
      <c r="F3" s="16"/>
      <c r="G3" s="16"/>
      <c r="H3" s="16"/>
      <c r="I3" s="16"/>
      <c r="J3" s="16"/>
      <c r="K3" s="17"/>
      <c r="L3" t="s" s="18">
        <v>9</v>
      </c>
      <c r="M3" s="19"/>
      <c r="N3" s="19"/>
      <c r="O3" s="19"/>
      <c r="P3" s="19"/>
      <c r="Q3" s="10"/>
      <c r="R3" s="10"/>
      <c r="S3" s="13"/>
    </row>
    <row r="4" ht="17.25" customHeight="1">
      <c r="A4" t="s" s="20">
        <v>10</v>
      </c>
      <c r="B4" s="21"/>
      <c r="C4" t="s" s="22">
        <v>11</v>
      </c>
      <c r="D4" s="23"/>
      <c r="E4" t="s" s="253">
        <v>118</v>
      </c>
      <c r="F4" t="s" s="22">
        <v>13</v>
      </c>
      <c r="G4" s="25"/>
      <c r="H4" s="25"/>
      <c r="I4" s="25"/>
      <c r="J4" s="26"/>
      <c r="K4" s="27"/>
      <c r="L4" s="19"/>
      <c r="M4" s="19"/>
      <c r="N4" s="19"/>
      <c r="O4" s="19"/>
      <c r="P4" s="19"/>
      <c r="Q4" s="10"/>
      <c r="R4" s="10"/>
      <c r="S4" s="13"/>
    </row>
    <row r="5" ht="15" customHeight="1">
      <c r="A5" t="s" s="28">
        <v>14</v>
      </c>
      <c r="B5" s="29"/>
      <c r="C5" s="30"/>
      <c r="D5" s="30"/>
      <c r="E5" s="29"/>
      <c r="F5" s="30"/>
      <c r="G5" s="30"/>
      <c r="H5" s="30"/>
      <c r="I5" s="30"/>
      <c r="J5" s="31"/>
      <c r="K5" s="27"/>
      <c r="L5" t="s" s="32">
        <v>9</v>
      </c>
      <c r="M5" s="33"/>
      <c r="N5" s="34"/>
      <c r="O5" s="33"/>
      <c r="P5" s="33"/>
      <c r="Q5" s="35"/>
      <c r="R5" s="10"/>
      <c r="S5" s="13"/>
    </row>
    <row r="6" ht="21.75" customHeight="1">
      <c r="A6" t="s" s="36">
        <v>15</v>
      </c>
      <c r="B6" s="237"/>
      <c r="C6" s="38"/>
      <c r="D6" s="38"/>
      <c r="E6" s="39"/>
      <c r="F6" t="s" s="40">
        <v>17</v>
      </c>
      <c r="G6" s="41"/>
      <c r="H6" s="237"/>
      <c r="I6" s="38"/>
      <c r="J6" s="42"/>
      <c r="K6" s="43"/>
      <c r="L6" t="s" s="44">
        <v>19</v>
      </c>
      <c r="M6" s="45"/>
      <c r="N6" t="s" s="46">
        <v>20</v>
      </c>
      <c r="O6" s="47">
        <v>8</v>
      </c>
      <c r="P6" t="s" s="46">
        <v>21</v>
      </c>
      <c r="Q6" s="48">
        <v>6</v>
      </c>
      <c r="R6" s="49"/>
      <c r="S6" s="13"/>
    </row>
    <row r="7" ht="21.75" customHeight="1">
      <c r="A7" t="s" s="50">
        <v>22</v>
      </c>
      <c r="B7" s="51"/>
      <c r="C7" s="51"/>
      <c r="D7" s="51"/>
      <c r="E7" s="51"/>
      <c r="F7" t="s" s="52">
        <v>23</v>
      </c>
      <c r="G7" s="53"/>
      <c r="H7" t="s" s="238">
        <v>9</v>
      </c>
      <c r="I7" s="51"/>
      <c r="J7" s="54"/>
      <c r="K7" s="49"/>
      <c r="L7" s="55"/>
      <c r="M7" s="55"/>
      <c r="N7" s="55"/>
      <c r="O7" s="55"/>
      <c r="P7" s="55"/>
      <c r="Q7" s="56"/>
      <c r="R7" s="10"/>
      <c r="S7" s="13"/>
    </row>
    <row r="8" ht="18" customHeight="1">
      <c r="A8" t="s" s="57">
        <v>24</v>
      </c>
      <c r="B8" t="s" s="58">
        <v>140</v>
      </c>
      <c r="C8" s="59"/>
      <c r="D8" t="s" s="60">
        <v>141</v>
      </c>
      <c r="E8" s="59"/>
      <c r="F8" t="s" s="61">
        <v>27</v>
      </c>
      <c r="G8" t="s" s="62">
        <v>28</v>
      </c>
      <c r="H8" s="63"/>
      <c r="I8" s="63"/>
      <c r="J8" s="64"/>
      <c r="K8" s="49"/>
      <c r="L8" s="34"/>
      <c r="M8" s="34"/>
      <c r="N8" s="34"/>
      <c r="O8" s="34"/>
      <c r="P8" s="34"/>
      <c r="Q8" s="35"/>
      <c r="R8" s="10"/>
      <c r="S8" s="13"/>
    </row>
    <row r="9" ht="12" customHeight="1">
      <c r="A9" s="65"/>
      <c r="B9" t="s" s="66">
        <v>29</v>
      </c>
      <c r="C9" s="67"/>
      <c r="D9" s="67"/>
      <c r="E9" s="67"/>
      <c r="F9" s="68"/>
      <c r="G9" s="68"/>
      <c r="H9" s="68"/>
      <c r="I9" s="68"/>
      <c r="J9" s="69"/>
      <c r="K9" s="43"/>
      <c r="L9" t="s" s="70">
        <v>30</v>
      </c>
      <c r="M9" t="s" s="71">
        <v>31</v>
      </c>
      <c r="N9" t="s" s="71">
        <v>32</v>
      </c>
      <c r="O9" t="s" s="71">
        <v>33</v>
      </c>
      <c r="P9" t="s" s="71">
        <v>34</v>
      </c>
      <c r="Q9" t="s" s="72">
        <v>35</v>
      </c>
      <c r="R9" s="49"/>
      <c r="S9" s="13"/>
    </row>
    <row r="10" ht="30" customHeight="1">
      <c r="A10" s="73"/>
      <c r="B10" s="74"/>
      <c r="C10" s="75"/>
      <c r="D10" s="75"/>
      <c r="E10" s="75"/>
      <c r="F10" s="75"/>
      <c r="G10" s="75"/>
      <c r="H10" s="75"/>
      <c r="I10" s="75"/>
      <c r="J10" s="76"/>
      <c r="K10" t="s" s="77">
        <v>9</v>
      </c>
      <c r="L10" t="s" s="78">
        <v>36</v>
      </c>
      <c r="M10" s="79">
        <v>48</v>
      </c>
      <c r="N10" s="80">
        <v>1</v>
      </c>
      <c r="O10" s="81">
        <v>4.34</v>
      </c>
      <c r="P10" s="82">
        <f>M10*O10</f>
        <v>208.32</v>
      </c>
      <c r="Q10" s="83">
        <f>P10/P15</f>
        <v>0.700602668962548</v>
      </c>
      <c r="R10" s="49"/>
      <c r="S10" s="13"/>
    </row>
    <row r="11" ht="19.5" customHeight="1">
      <c r="A11" t="s" s="57">
        <v>37</v>
      </c>
      <c r="B11" t="s" s="84">
        <v>38</v>
      </c>
      <c r="C11" s="85"/>
      <c r="D11" s="86"/>
      <c r="E11" s="87">
        <f>D24</f>
        <v>210180.800688764</v>
      </c>
      <c r="F11" t="s" s="88">
        <v>39</v>
      </c>
      <c r="G11" s="89">
        <f>E11/8</f>
        <v>26272.6000860955</v>
      </c>
      <c r="H11" t="s" s="90">
        <v>40</v>
      </c>
      <c r="I11" s="91"/>
      <c r="J11" s="92"/>
      <c r="K11" s="43"/>
      <c r="L11" t="s" s="78">
        <v>41</v>
      </c>
      <c r="M11" s="79">
        <v>9.6</v>
      </c>
      <c r="N11" s="80">
        <v>1</v>
      </c>
      <c r="O11" s="81">
        <v>4.34</v>
      </c>
      <c r="P11" s="82">
        <f>M11*O11</f>
        <v>41.664</v>
      </c>
      <c r="Q11" s="83">
        <f>P11/P15</f>
        <v>0.14012053379251</v>
      </c>
      <c r="R11" s="49"/>
      <c r="S11" s="13"/>
    </row>
    <row r="12" ht="17.25" customHeight="1">
      <c r="A12" s="65"/>
      <c r="B12" t="s" s="93">
        <v>42</v>
      </c>
      <c r="C12" s="94"/>
      <c r="D12" s="94"/>
      <c r="E12" s="95"/>
      <c r="F12" s="94"/>
      <c r="G12" s="95"/>
      <c r="H12" s="94"/>
      <c r="I12" s="94"/>
      <c r="J12" s="96"/>
      <c r="K12" s="43"/>
      <c r="L12" t="s" s="78">
        <v>43</v>
      </c>
      <c r="M12" s="79">
        <v>12</v>
      </c>
      <c r="N12" s="80">
        <v>1</v>
      </c>
      <c r="O12" s="81">
        <v>1</v>
      </c>
      <c r="P12" s="82">
        <f>M12*N12*O12</f>
        <v>12</v>
      </c>
      <c r="Q12" s="83">
        <f>P12/P15</f>
        <v>0.0403572965992251</v>
      </c>
      <c r="R12" s="98"/>
      <c r="S12" s="99"/>
    </row>
    <row r="13" ht="17.25" customHeight="1">
      <c r="A13" s="65"/>
      <c r="B13" s="100"/>
      <c r="C13" s="94"/>
      <c r="D13" s="94"/>
      <c r="E13" s="94"/>
      <c r="F13" s="94"/>
      <c r="G13" s="94"/>
      <c r="H13" s="94"/>
      <c r="I13" s="94"/>
      <c r="J13" s="96"/>
      <c r="K13" s="43"/>
      <c r="L13" t="s" s="78">
        <v>44</v>
      </c>
      <c r="M13" s="79">
        <v>8</v>
      </c>
      <c r="N13" s="80">
        <v>0.5</v>
      </c>
      <c r="O13" s="81">
        <v>4.34</v>
      </c>
      <c r="P13" s="82">
        <f>M13*N13*O13</f>
        <v>17.36</v>
      </c>
      <c r="Q13" s="101">
        <f>P13/P15</f>
        <v>0.058383555746879</v>
      </c>
      <c r="R13" s="49"/>
      <c r="S13" s="13"/>
    </row>
    <row r="14" ht="17.25" customHeight="1">
      <c r="A14" s="65"/>
      <c r="B14" s="100"/>
      <c r="C14" s="94"/>
      <c r="D14" s="94"/>
      <c r="E14" s="94"/>
      <c r="F14" s="94"/>
      <c r="G14" s="94"/>
      <c r="H14" s="94"/>
      <c r="I14" s="94"/>
      <c r="J14" s="96"/>
      <c r="K14" s="43"/>
      <c r="L14" t="s" s="78">
        <v>45</v>
      </c>
      <c r="M14" s="81">
        <v>0</v>
      </c>
      <c r="N14" s="80"/>
      <c r="O14" s="81">
        <v>0</v>
      </c>
      <c r="P14" s="82">
        <v>18</v>
      </c>
      <c r="Q14" s="101">
        <f>P14/P15</f>
        <v>0.0605359448988377</v>
      </c>
      <c r="R14" s="49"/>
      <c r="S14" s="13"/>
    </row>
    <row r="15" ht="13.5" customHeight="1">
      <c r="A15" s="65"/>
      <c r="B15" t="s" s="102">
        <v>46</v>
      </c>
      <c r="C15" s="68"/>
      <c r="D15" s="68"/>
      <c r="E15" s="68"/>
      <c r="F15" s="68"/>
      <c r="G15" s="68"/>
      <c r="H15" s="68"/>
      <c r="I15" s="68"/>
      <c r="J15" s="69"/>
      <c r="K15" s="43"/>
      <c r="L15" t="s" s="103">
        <v>47</v>
      </c>
      <c r="M15" s="104"/>
      <c r="N15" s="104"/>
      <c r="O15" s="105">
        <v>0</v>
      </c>
      <c r="P15" s="106">
        <f>SUM(P10:P14)</f>
        <v>297.344</v>
      </c>
      <c r="Q15" s="107">
        <f>SUM(Q10:Q14)</f>
        <v>1</v>
      </c>
      <c r="R15" s="49"/>
      <c r="S15" s="13"/>
    </row>
    <row r="16" ht="13.5" customHeight="1">
      <c r="A16" s="65"/>
      <c r="B16" s="108"/>
      <c r="C16" s="68"/>
      <c r="D16" s="68"/>
      <c r="E16" s="68"/>
      <c r="F16" s="68"/>
      <c r="G16" s="68"/>
      <c r="H16" s="68"/>
      <c r="I16" s="68"/>
      <c r="J16" s="69"/>
      <c r="K16" s="49"/>
      <c r="L16" s="56"/>
      <c r="M16" s="56"/>
      <c r="N16" s="56"/>
      <c r="O16" s="56"/>
      <c r="P16" s="56"/>
      <c r="Q16" s="56"/>
      <c r="R16" s="10"/>
      <c r="S16" s="13"/>
    </row>
    <row r="17" ht="21" customHeight="1">
      <c r="A17" s="65"/>
      <c r="B17" t="s" s="102">
        <v>48</v>
      </c>
      <c r="C17" s="68"/>
      <c r="D17" s="68"/>
      <c r="E17" s="68"/>
      <c r="F17" s="68"/>
      <c r="G17" s="109"/>
      <c r="H17" s="109"/>
      <c r="I17" s="109"/>
      <c r="J17" s="110"/>
      <c r="K17" s="49"/>
      <c r="L17" s="111"/>
      <c r="M17" s="112"/>
      <c r="N17" t="s" s="113">
        <v>49</v>
      </c>
      <c r="O17" s="114"/>
      <c r="P17" s="114"/>
      <c r="Q17" s="115">
        <v>9620</v>
      </c>
      <c r="R17" s="10"/>
      <c r="S17" s="13"/>
    </row>
    <row r="18" ht="15.75" customHeight="1">
      <c r="A18" s="65"/>
      <c r="B18" t="s" s="116">
        <v>108</v>
      </c>
      <c r="C18" s="117"/>
      <c r="D18" s="117"/>
      <c r="E18" s="117"/>
      <c r="F18" s="118"/>
      <c r="G18" s="119">
        <v>300000</v>
      </c>
      <c r="H18" t="s" s="120">
        <v>51</v>
      </c>
      <c r="I18" s="121"/>
      <c r="J18" s="122"/>
      <c r="K18" s="49"/>
      <c r="L18" s="111"/>
      <c r="M18" s="112"/>
      <c r="N18" s="10"/>
      <c r="O18" s="10"/>
      <c r="P18" s="123"/>
      <c r="Q18" s="10"/>
      <c r="R18" s="10"/>
      <c r="S18" s="13"/>
    </row>
    <row r="19" ht="15.75" customHeight="1">
      <c r="A19" s="65"/>
      <c r="B19" t="s" s="124">
        <v>142</v>
      </c>
      <c r="C19" s="125"/>
      <c r="D19" s="125"/>
      <c r="E19" s="125"/>
      <c r="F19" s="125"/>
      <c r="G19" s="126"/>
      <c r="H19" s="126"/>
      <c r="I19" s="126"/>
      <c r="J19" s="127"/>
      <c r="K19" s="49"/>
      <c r="L19" t="s" s="128">
        <v>53</v>
      </c>
      <c r="M19" s="129"/>
      <c r="N19" s="129"/>
      <c r="O19" s="129"/>
      <c r="P19" s="129"/>
      <c r="Q19" s="130"/>
      <c r="R19" s="10"/>
      <c r="S19" s="13"/>
    </row>
    <row r="20" ht="15.75" customHeight="1">
      <c r="A20" s="65"/>
      <c r="B20" t="s" s="124">
        <v>54</v>
      </c>
      <c r="C20" s="125"/>
      <c r="D20" s="125"/>
      <c r="E20" s="125"/>
      <c r="F20" s="125"/>
      <c r="G20" s="125"/>
      <c r="H20" s="125"/>
      <c r="I20" s="125"/>
      <c r="J20" s="131"/>
      <c r="K20" s="49"/>
      <c r="L20" t="s" s="128">
        <v>55</v>
      </c>
      <c r="M20" s="129"/>
      <c r="N20" s="129"/>
      <c r="O20" s="129"/>
      <c r="P20" s="129"/>
      <c r="Q20" s="130"/>
      <c r="R20" s="10"/>
      <c r="S20" s="13"/>
    </row>
    <row r="21" ht="15.75" customHeight="1">
      <c r="A21" s="73"/>
      <c r="B21" t="s" s="132">
        <v>122</v>
      </c>
      <c r="C21" s="133"/>
      <c r="D21" s="133"/>
      <c r="E21" s="133"/>
      <c r="F21" s="133"/>
      <c r="G21" s="133"/>
      <c r="H21" s="133"/>
      <c r="I21" s="133"/>
      <c r="J21" s="134"/>
      <c r="K21" s="49"/>
      <c r="L21" t="s" s="128">
        <v>57</v>
      </c>
      <c r="M21" s="129"/>
      <c r="N21" s="129"/>
      <c r="O21" s="129"/>
      <c r="P21" s="129"/>
      <c r="Q21" s="130"/>
      <c r="R21" s="10"/>
      <c r="S21" s="13"/>
    </row>
    <row r="22" ht="18.75" customHeight="1">
      <c r="A22" t="s" s="135">
        <v>58</v>
      </c>
      <c r="B22" t="s" s="136">
        <v>59</v>
      </c>
      <c r="C22" s="137"/>
      <c r="D22" t="s" s="138">
        <v>36</v>
      </c>
      <c r="E22" t="s" s="138">
        <v>60</v>
      </c>
      <c r="F22" t="s" s="138">
        <v>43</v>
      </c>
      <c r="G22" t="s" s="139">
        <v>61</v>
      </c>
      <c r="H22" s="140"/>
      <c r="I22" t="s" s="139">
        <v>45</v>
      </c>
      <c r="J22" s="141"/>
      <c r="K22" s="49"/>
      <c r="L22" t="s" s="128">
        <v>62</v>
      </c>
      <c r="M22" s="129"/>
      <c r="N22" s="129"/>
      <c r="O22" s="129"/>
      <c r="P22" s="129"/>
      <c r="Q22" s="130"/>
      <c r="R22" s="129"/>
      <c r="S22" s="142"/>
    </row>
    <row r="23" ht="18.75" customHeight="1">
      <c r="A23" s="143"/>
      <c r="B23" t="s" s="144">
        <v>63</v>
      </c>
      <c r="C23" s="145"/>
      <c r="D23" s="146">
        <f>Q10</f>
        <v>0.700602668962548</v>
      </c>
      <c r="E23" s="146">
        <f>Q11</f>
        <v>0.14012053379251</v>
      </c>
      <c r="F23" s="146">
        <f>Q12</f>
        <v>0.0403572965992251</v>
      </c>
      <c r="G23" s="147">
        <f>Q13</f>
        <v>0.058383555746879</v>
      </c>
      <c r="H23" s="148"/>
      <c r="I23" s="147">
        <f>Q14</f>
        <v>0.0605359448988377</v>
      </c>
      <c r="J23" s="149"/>
      <c r="K23" s="49"/>
      <c r="L23" s="129"/>
      <c r="M23" s="129"/>
      <c r="N23" s="129"/>
      <c r="O23" s="129"/>
      <c r="P23" s="129"/>
      <c r="Q23" s="129"/>
      <c r="R23" s="129"/>
      <c r="S23" s="142"/>
    </row>
    <row r="24" ht="18.75" customHeight="1">
      <c r="A24" s="150"/>
      <c r="B24" t="s" s="151">
        <v>64</v>
      </c>
      <c r="C24" s="152">
        <f>G11</f>
        <v>26272.6000860955</v>
      </c>
      <c r="D24" s="153">
        <f>G18*$D$23</f>
        <v>210180.800688764</v>
      </c>
      <c r="E24" s="153">
        <f>G18*$E$23</f>
        <v>42036.160137753</v>
      </c>
      <c r="F24" s="153">
        <f>G18*$F$23</f>
        <v>12107.1889797675</v>
      </c>
      <c r="G24" s="154">
        <f>G18*$G$23</f>
        <v>17515.0667240637</v>
      </c>
      <c r="H24" s="155"/>
      <c r="I24" s="156">
        <f>G18*$I$23</f>
        <v>18160.7834696513</v>
      </c>
      <c r="J24" s="157"/>
      <c r="K24" s="49"/>
      <c r="L24" s="129"/>
      <c r="M24" s="129"/>
      <c r="N24" s="129"/>
      <c r="O24" s="129"/>
      <c r="P24" s="129"/>
      <c r="Q24" s="129"/>
      <c r="R24" s="129"/>
      <c r="S24" s="142"/>
    </row>
    <row r="25" ht="54.75" customHeight="1">
      <c r="A25" t="s" s="135">
        <v>65</v>
      </c>
      <c r="B25" t="s" s="158">
        <v>123</v>
      </c>
      <c r="C25" s="159"/>
      <c r="D25" s="159"/>
      <c r="E25" s="159"/>
      <c r="F25" s="159"/>
      <c r="G25" s="159"/>
      <c r="H25" s="159"/>
      <c r="I25" s="159"/>
      <c r="J25" s="160"/>
      <c r="K25" s="49"/>
      <c r="L25" t="s" s="128">
        <v>9</v>
      </c>
      <c r="M25" s="129"/>
      <c r="N25" s="129"/>
      <c r="O25" s="129"/>
      <c r="P25" s="129"/>
      <c r="Q25" s="130"/>
      <c r="R25" s="10"/>
      <c r="S25" s="142"/>
    </row>
    <row r="26" ht="66.75" customHeight="1">
      <c r="A26" s="73"/>
      <c r="B26" s="74"/>
      <c r="C26" s="75"/>
      <c r="D26" s="75"/>
      <c r="E26" s="75"/>
      <c r="F26" s="75"/>
      <c r="G26" s="75"/>
      <c r="H26" s="75"/>
      <c r="I26" s="75"/>
      <c r="J26" s="76"/>
      <c r="K26" s="49"/>
      <c r="L26" t="s" s="128">
        <v>9</v>
      </c>
      <c r="M26" s="129"/>
      <c r="N26" s="129"/>
      <c r="O26" s="129"/>
      <c r="P26" s="129"/>
      <c r="Q26" s="130"/>
      <c r="R26" s="10"/>
      <c r="S26" s="142"/>
    </row>
    <row r="27" ht="27.75" customHeight="1">
      <c r="A27" t="s" s="57">
        <v>67</v>
      </c>
      <c r="B27" t="s" s="158">
        <v>68</v>
      </c>
      <c r="C27" s="159"/>
      <c r="D27" s="159"/>
      <c r="E27" s="159"/>
      <c r="F27" s="159"/>
      <c r="G27" s="159"/>
      <c r="H27" s="159"/>
      <c r="I27" s="159"/>
      <c r="J27" s="160"/>
      <c r="K27" s="49"/>
      <c r="L27" s="161">
        <f>C24*8</f>
        <v>210180.800688764</v>
      </c>
      <c r="M27" s="162">
        <f>E24*5</f>
        <v>210180.800688765</v>
      </c>
      <c r="N27" s="129"/>
      <c r="O27" s="162"/>
      <c r="P27" s="163"/>
      <c r="Q27" s="162"/>
      <c r="R27" s="164"/>
      <c r="S27" s="165"/>
    </row>
    <row r="28" ht="27.75" customHeight="1">
      <c r="A28" s="73"/>
      <c r="B28" s="74"/>
      <c r="C28" s="75"/>
      <c r="D28" s="75"/>
      <c r="E28" s="75"/>
      <c r="F28" s="75"/>
      <c r="G28" s="75"/>
      <c r="H28" s="75"/>
      <c r="I28" s="75"/>
      <c r="J28" s="76"/>
      <c r="K28" s="49"/>
      <c r="L28" s="161"/>
      <c r="M28" s="163"/>
      <c r="N28" s="10"/>
      <c r="O28" s="10"/>
      <c r="P28" s="10"/>
      <c r="Q28" s="10"/>
      <c r="R28" s="164"/>
      <c r="S28" s="165"/>
    </row>
    <row r="29" ht="40.5" customHeight="1">
      <c r="A29" t="s" s="166">
        <v>69</v>
      </c>
      <c r="B29" t="s" s="167">
        <v>70</v>
      </c>
      <c r="C29" s="168"/>
      <c r="D29" s="168"/>
      <c r="E29" s="168"/>
      <c r="F29" s="168"/>
      <c r="G29" s="168"/>
      <c r="H29" s="168"/>
      <c r="I29" s="168"/>
      <c r="J29" s="169"/>
      <c r="K29" s="49"/>
      <c r="L29" t="s" s="170">
        <v>71</v>
      </c>
      <c r="M29" s="171"/>
      <c r="N29" s="171"/>
      <c r="O29" s="171"/>
      <c r="P29" s="171"/>
      <c r="Q29" s="171"/>
      <c r="R29" s="164"/>
      <c r="S29" s="165"/>
    </row>
    <row r="30" ht="23.25" customHeight="1">
      <c r="A30" t="s" s="135">
        <v>72</v>
      </c>
      <c r="B30" t="s" s="158">
        <v>73</v>
      </c>
      <c r="C30" s="159"/>
      <c r="D30" s="159"/>
      <c r="E30" s="159"/>
      <c r="F30" s="159"/>
      <c r="G30" s="159"/>
      <c r="H30" s="159"/>
      <c r="I30" s="159"/>
      <c r="J30" s="160"/>
      <c r="K30" s="49"/>
      <c r="L30" s="171"/>
      <c r="M30" s="171"/>
      <c r="N30" s="171"/>
      <c r="O30" s="171"/>
      <c r="P30" s="171"/>
      <c r="Q30" s="171"/>
      <c r="R30" s="164"/>
      <c r="S30" s="164"/>
    </row>
    <row r="31" ht="23.25" customHeight="1">
      <c r="A31" s="143"/>
      <c r="B31" s="108"/>
      <c r="C31" s="68"/>
      <c r="D31" s="68"/>
      <c r="E31" s="68"/>
      <c r="F31" s="68"/>
      <c r="G31" s="68"/>
      <c r="H31" s="68"/>
      <c r="I31" s="68"/>
      <c r="J31" s="69"/>
      <c r="K31" s="49"/>
      <c r="L31" s="171"/>
      <c r="M31" s="171"/>
      <c r="N31" s="171"/>
      <c r="O31" s="171"/>
      <c r="P31" s="171"/>
      <c r="Q31" s="171"/>
      <c r="R31" s="10"/>
      <c r="S31" s="142"/>
    </row>
    <row r="32" ht="23.25" customHeight="1">
      <c r="A32" s="143"/>
      <c r="B32" s="108"/>
      <c r="C32" s="68"/>
      <c r="D32" s="68"/>
      <c r="E32" s="68"/>
      <c r="F32" s="68"/>
      <c r="G32" s="68"/>
      <c r="H32" s="68"/>
      <c r="I32" s="68"/>
      <c r="J32" s="69"/>
      <c r="K32" s="49"/>
      <c r="L32" s="171"/>
      <c r="M32" s="171"/>
      <c r="N32" s="171"/>
      <c r="O32" s="171"/>
      <c r="P32" s="171"/>
      <c r="Q32" s="171"/>
      <c r="R32" s="10"/>
      <c r="S32" s="142"/>
    </row>
    <row r="33" ht="23.25" customHeight="1">
      <c r="A33" s="143"/>
      <c r="B33" s="108"/>
      <c r="C33" s="68"/>
      <c r="D33" s="68"/>
      <c r="E33" s="68"/>
      <c r="F33" s="68"/>
      <c r="G33" s="68"/>
      <c r="H33" s="68"/>
      <c r="I33" s="68"/>
      <c r="J33" s="69"/>
      <c r="K33" s="49"/>
      <c r="L33" s="172"/>
      <c r="M33" s="172"/>
      <c r="N33" s="172"/>
      <c r="O33" s="172"/>
      <c r="P33" s="172"/>
      <c r="Q33" s="10"/>
      <c r="R33" s="10"/>
      <c r="S33" s="142"/>
    </row>
    <row r="34" ht="23.25" customHeight="1">
      <c r="A34" s="143"/>
      <c r="B34" s="108"/>
      <c r="C34" s="68"/>
      <c r="D34" s="68"/>
      <c r="E34" s="68"/>
      <c r="F34" s="68"/>
      <c r="G34" s="68"/>
      <c r="H34" s="68"/>
      <c r="I34" s="68"/>
      <c r="J34" s="69"/>
      <c r="K34" s="173"/>
      <c r="L34" s="174"/>
      <c r="M34" s="174"/>
      <c r="N34" s="174"/>
      <c r="O34" s="174"/>
      <c r="P34" s="174"/>
      <c r="Q34" s="175"/>
      <c r="R34" s="10"/>
      <c r="S34" s="142"/>
    </row>
    <row r="35" ht="28.5" customHeight="1">
      <c r="A35" s="150"/>
      <c r="B35" s="74"/>
      <c r="C35" s="75"/>
      <c r="D35" s="75"/>
      <c r="E35" s="75"/>
      <c r="F35" s="75"/>
      <c r="G35" s="75"/>
      <c r="H35" s="75"/>
      <c r="I35" s="75"/>
      <c r="J35" s="76"/>
      <c r="K35" s="173"/>
      <c r="L35" s="176"/>
      <c r="M35" s="176"/>
      <c r="N35" s="176"/>
      <c r="O35" s="176"/>
      <c r="P35" s="176"/>
      <c r="Q35" s="177"/>
      <c r="R35" s="178"/>
      <c r="S35" s="142"/>
    </row>
    <row r="36" ht="21" customHeight="1">
      <c r="A36" t="s" s="135">
        <v>74</v>
      </c>
      <c r="B36" t="s" s="158">
        <v>124</v>
      </c>
      <c r="C36" s="159"/>
      <c r="D36" s="159"/>
      <c r="E36" s="159"/>
      <c r="F36" s="159"/>
      <c r="G36" s="159"/>
      <c r="H36" s="159"/>
      <c r="I36" s="159"/>
      <c r="J36" s="160"/>
      <c r="K36" s="173"/>
      <c r="L36" s="179"/>
      <c r="M36" s="179"/>
      <c r="N36" s="179"/>
      <c r="O36" s="179"/>
      <c r="P36" s="179"/>
      <c r="Q36" s="180"/>
      <c r="R36" s="181"/>
      <c r="S36" s="182"/>
    </row>
    <row r="37" ht="19.5" customHeight="1">
      <c r="A37" s="143"/>
      <c r="B37" s="108"/>
      <c r="C37" s="68"/>
      <c r="D37" s="68"/>
      <c r="E37" s="68"/>
      <c r="F37" s="68"/>
      <c r="G37" s="68"/>
      <c r="H37" s="68"/>
      <c r="I37" s="68"/>
      <c r="J37" s="69"/>
      <c r="K37" s="173"/>
      <c r="L37" s="183"/>
      <c r="M37" s="183"/>
      <c r="N37" s="183"/>
      <c r="O37" s="183"/>
      <c r="P37" s="183"/>
      <c r="Q37" s="184"/>
      <c r="R37" s="185"/>
      <c r="S37" s="182"/>
    </row>
    <row r="38" ht="19.5" customHeight="1">
      <c r="A38" s="143"/>
      <c r="B38" s="108"/>
      <c r="C38" s="68"/>
      <c r="D38" s="68"/>
      <c r="E38" s="68"/>
      <c r="F38" s="68"/>
      <c r="G38" s="68"/>
      <c r="H38" s="68"/>
      <c r="I38" s="68"/>
      <c r="J38" s="69"/>
      <c r="K38" s="173"/>
      <c r="L38" s="186"/>
      <c r="M38" s="186"/>
      <c r="N38" s="186"/>
      <c r="O38" s="186"/>
      <c r="P38" s="186"/>
      <c r="Q38" s="187"/>
      <c r="R38" s="188"/>
      <c r="S38" s="182"/>
    </row>
    <row r="39" ht="19.5" customHeight="1">
      <c r="A39" s="143"/>
      <c r="B39" s="108"/>
      <c r="C39" s="68"/>
      <c r="D39" s="68"/>
      <c r="E39" s="68"/>
      <c r="F39" s="68"/>
      <c r="G39" s="68"/>
      <c r="H39" s="68"/>
      <c r="I39" s="68"/>
      <c r="J39" s="69"/>
      <c r="K39" s="173"/>
      <c r="L39" s="186"/>
      <c r="M39" s="186"/>
      <c r="N39" s="186"/>
      <c r="O39" s="186"/>
      <c r="P39" s="186"/>
      <c r="Q39" s="187"/>
      <c r="R39" s="188"/>
      <c r="S39" s="182"/>
    </row>
    <row r="40" ht="19.5" customHeight="1">
      <c r="A40" s="150"/>
      <c r="B40" s="74"/>
      <c r="C40" s="75"/>
      <c r="D40" s="75"/>
      <c r="E40" s="75"/>
      <c r="F40" s="75"/>
      <c r="G40" s="75"/>
      <c r="H40" s="75"/>
      <c r="I40" s="75"/>
      <c r="J40" s="76"/>
      <c r="K40" s="173"/>
      <c r="L40" s="186"/>
      <c r="M40" s="186"/>
      <c r="N40" s="186"/>
      <c r="O40" s="186"/>
      <c r="P40" s="186"/>
      <c r="Q40" s="187"/>
      <c r="R40" s="188"/>
      <c r="S40" s="182"/>
    </row>
    <row r="41" ht="17.1" customHeight="1">
      <c r="A41" t="s" s="135">
        <v>76</v>
      </c>
      <c r="B41" t="s" s="167">
        <v>77</v>
      </c>
      <c r="C41" s="168"/>
      <c r="D41" s="168"/>
      <c r="E41" s="168"/>
      <c r="F41" s="168"/>
      <c r="G41" s="168"/>
      <c r="H41" s="168"/>
      <c r="I41" s="168"/>
      <c r="J41" s="169"/>
      <c r="K41" s="173"/>
      <c r="L41" s="186"/>
      <c r="M41" s="186"/>
      <c r="N41" s="186"/>
      <c r="O41" s="186"/>
      <c r="P41" s="186"/>
      <c r="Q41" s="187"/>
      <c r="R41" s="188"/>
      <c r="S41" s="182"/>
    </row>
    <row r="42" ht="19.5" customHeight="1">
      <c r="A42" s="143"/>
      <c r="B42" t="s" s="189">
        <v>78</v>
      </c>
      <c r="C42" s="190"/>
      <c r="D42" t="s" s="189">
        <v>79</v>
      </c>
      <c r="E42" s="190"/>
      <c r="F42" t="s" s="189">
        <v>80</v>
      </c>
      <c r="G42" s="190"/>
      <c r="H42" t="s" s="189">
        <v>81</v>
      </c>
      <c r="I42" s="190"/>
      <c r="J42" t="s" s="191">
        <v>82</v>
      </c>
      <c r="K42" s="192"/>
      <c r="L42" s="186"/>
      <c r="M42" s="186"/>
      <c r="N42" s="186"/>
      <c r="O42" s="186"/>
      <c r="P42" s="186"/>
      <c r="Q42" s="187"/>
      <c r="R42" s="188"/>
      <c r="S42" s="182"/>
    </row>
    <row r="43" ht="19.5" customHeight="1">
      <c r="A43" s="143"/>
      <c r="B43" t="s" s="193">
        <v>83</v>
      </c>
      <c r="C43" s="194"/>
      <c r="D43" t="s" s="193">
        <v>83</v>
      </c>
      <c r="E43" s="194"/>
      <c r="F43" t="s" s="193">
        <v>83</v>
      </c>
      <c r="G43" s="194"/>
      <c r="H43" t="s" s="193">
        <v>83</v>
      </c>
      <c r="I43" s="194"/>
      <c r="J43" t="s" s="195">
        <v>83</v>
      </c>
      <c r="K43" s="192"/>
      <c r="L43" s="186"/>
      <c r="M43" s="186"/>
      <c r="N43" s="186"/>
      <c r="O43" s="186"/>
      <c r="P43" s="186"/>
      <c r="Q43" s="187"/>
      <c r="R43" s="188"/>
      <c r="S43" s="182"/>
    </row>
    <row r="44" ht="19.5" customHeight="1">
      <c r="A44" s="150"/>
      <c r="B44" t="s" s="167">
        <v>125</v>
      </c>
      <c r="C44" s="168"/>
      <c r="D44" s="168"/>
      <c r="E44" s="168"/>
      <c r="F44" s="168"/>
      <c r="G44" s="168"/>
      <c r="H44" s="168"/>
      <c r="I44" s="168"/>
      <c r="J44" s="169"/>
      <c r="K44" s="173"/>
      <c r="L44" s="186"/>
      <c r="M44" s="186"/>
      <c r="N44" s="186"/>
      <c r="O44" s="186"/>
      <c r="P44" s="186"/>
      <c r="Q44" s="187"/>
      <c r="R44" s="188"/>
      <c r="S44" s="182"/>
    </row>
    <row r="45" ht="21" customHeight="1">
      <c r="A45" t="s" s="196">
        <v>85</v>
      </c>
      <c r="B45" t="s" s="197">
        <v>126</v>
      </c>
      <c r="C45" s="198"/>
      <c r="D45" s="198"/>
      <c r="E45" s="198"/>
      <c r="F45" s="198"/>
      <c r="G45" s="198"/>
      <c r="H45" s="198"/>
      <c r="I45" s="198"/>
      <c r="J45" s="199"/>
      <c r="K45" s="49"/>
      <c r="L45" s="200"/>
      <c r="M45" s="200"/>
      <c r="N45" s="200"/>
      <c r="O45" s="200"/>
      <c r="P45" s="200"/>
      <c r="Q45" s="10"/>
      <c r="R45" s="200"/>
      <c r="S45" s="142"/>
    </row>
    <row r="46" ht="19.5" customHeight="1">
      <c r="A46" t="s" s="201">
        <v>143</v>
      </c>
      <c r="B46" s="202"/>
      <c r="C46" s="202"/>
      <c r="D46" s="202"/>
      <c r="E46" s="202"/>
      <c r="F46" s="202"/>
      <c r="G46" s="202"/>
      <c r="H46" s="202"/>
      <c r="I46" s="202"/>
      <c r="J46" s="203"/>
      <c r="K46" s="49"/>
      <c r="L46" s="10"/>
      <c r="M46" s="10"/>
      <c r="N46" s="10"/>
      <c r="O46" s="10"/>
      <c r="P46" s="10"/>
      <c r="Q46" s="10"/>
      <c r="R46" s="10"/>
      <c r="S46" s="13"/>
    </row>
    <row r="47" ht="23.25" customHeight="1">
      <c r="A47" t="s" s="204">
        <v>88</v>
      </c>
      <c r="B47" s="205"/>
      <c r="C47" s="205"/>
      <c r="D47" s="205"/>
      <c r="E47" s="205"/>
      <c r="F47" t="s" s="206">
        <v>89</v>
      </c>
      <c r="G47" s="205"/>
      <c r="H47" s="205"/>
      <c r="I47" s="205"/>
      <c r="J47" s="207"/>
      <c r="K47" s="49"/>
      <c r="L47" s="10"/>
      <c r="M47" s="10"/>
      <c r="N47" s="10"/>
      <c r="O47" s="10"/>
      <c r="P47" s="10"/>
      <c r="Q47" s="10"/>
      <c r="R47" s="10"/>
      <c r="S47" s="161"/>
    </row>
    <row r="48" ht="23.25" customHeight="1">
      <c r="A48" t="s" s="208">
        <v>90</v>
      </c>
      <c r="B48" s="209"/>
      <c r="C48" t="s" s="210">
        <f>A4</f>
        <v>91</v>
      </c>
      <c r="D48" s="209"/>
      <c r="E48" s="209"/>
      <c r="F48" t="s" s="211">
        <v>92</v>
      </c>
      <c r="G48" t="s" s="243">
        <v>128</v>
      </c>
      <c r="H48" s="244"/>
      <c r="I48" s="244"/>
      <c r="J48" s="245"/>
      <c r="K48" s="49"/>
      <c r="L48" s="10"/>
      <c r="M48" s="10"/>
      <c r="N48" s="10"/>
      <c r="O48" s="10"/>
      <c r="P48" s="10"/>
      <c r="Q48" s="10"/>
      <c r="R48" s="10"/>
      <c r="S48" s="13"/>
    </row>
    <row r="49" ht="23.25" customHeight="1">
      <c r="A49" t="s" s="215">
        <v>94</v>
      </c>
      <c r="B49" s="216"/>
      <c r="C49" t="s" s="217">
        <v>95</v>
      </c>
      <c r="D49" s="216"/>
      <c r="E49" s="216"/>
      <c r="F49" t="s" s="246">
        <v>96</v>
      </c>
      <c r="G49" s="216"/>
      <c r="H49" s="216"/>
      <c r="I49" s="216"/>
      <c r="J49" s="247"/>
      <c r="K49" s="49"/>
      <c r="L49" s="10"/>
      <c r="M49" s="10"/>
      <c r="N49" s="10"/>
      <c r="O49" s="10"/>
      <c r="P49" s="10"/>
      <c r="Q49" s="10"/>
      <c r="R49" s="10"/>
      <c r="S49" s="13"/>
    </row>
    <row r="50" ht="23.25" customHeight="1">
      <c r="A50" t="s" s="215">
        <v>98</v>
      </c>
      <c r="B50" s="216"/>
      <c r="C50" s="216"/>
      <c r="D50" s="216"/>
      <c r="E50" s="216"/>
      <c r="F50" t="s" s="217">
        <v>99</v>
      </c>
      <c r="G50" s="216"/>
      <c r="H50" s="216"/>
      <c r="I50" s="216"/>
      <c r="J50" s="247"/>
      <c r="K50" s="49"/>
      <c r="L50" s="10"/>
      <c r="M50" s="10"/>
      <c r="N50" s="10"/>
      <c r="O50" s="10"/>
      <c r="P50" s="10"/>
      <c r="Q50" s="10"/>
      <c r="R50" s="10"/>
      <c r="S50" s="13"/>
    </row>
    <row r="51" ht="23.25" customHeight="1">
      <c r="A51" t="s" s="226">
        <v>101</v>
      </c>
      <c r="B51" s="227"/>
      <c r="C51" t="s" s="248">
        <v>83</v>
      </c>
      <c r="D51" s="249"/>
      <c r="E51" s="249"/>
      <c r="F51" t="s" s="250">
        <v>103</v>
      </c>
      <c r="G51" s="227"/>
      <c r="H51" s="227"/>
      <c r="I51" s="227"/>
      <c r="J51" s="251"/>
      <c r="K51" s="49"/>
      <c r="L51" s="10"/>
      <c r="M51" s="10"/>
      <c r="N51" s="10"/>
      <c r="O51" s="10"/>
      <c r="P51" s="10"/>
      <c r="Q51" s="10"/>
      <c r="R51" s="10"/>
      <c r="S51" s="1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conditionalFormatting sqref="M5:M6 O5:P5 E11 G11 H18:J18 C24:H24 P27 M28 L36:P44">
    <cfRule type="cellIs" dxfId="5" priority="1" operator="lessThan" stopIfTrue="1">
      <formula>0</formula>
    </cfRule>
  </conditionalFormatting>
  <pageMargins left="0.7" right="0.7" top="0.75" bottom="0.75" header="0.3" footer="0.3"/>
  <pageSetup firstPageNumber="1" fitToHeight="1" fitToWidth="1" scale="65" useFirstPageNumber="0" orientation="portrait" pageOrder="downThenOver"/>
  <headerFooter>
    <oddFooter>&amp;C&amp;"Helvetica Neue,Regular"&amp;12&amp;K000000&amp;P</oddFooter>
  </headerFooter>
  <drawing r:id="rId1"/>
  <legacyDrawing r:id="rId2"/>
</worksheet>
</file>

<file path=xl/worksheets/sheet8.xml><?xml version="1.0" encoding="utf-8"?>
<worksheet xmlns:r="http://schemas.openxmlformats.org/officeDocument/2006/relationships" xmlns="http://schemas.openxmlformats.org/spreadsheetml/2006/main">
  <dimension ref="A1:S51"/>
  <sheetViews>
    <sheetView workbookViewId="0" showGridLines="0" defaultGridColor="1"/>
  </sheetViews>
  <sheetFormatPr defaultColWidth="8.83333" defaultRowHeight="16.5" customHeight="1" outlineLevelRow="0" outlineLevelCol="0"/>
  <cols>
    <col min="1" max="1" width="10.3516" style="263" customWidth="1"/>
    <col min="2" max="2" width="12.5" style="263" customWidth="1"/>
    <col min="3" max="3" width="12.3516" style="263" customWidth="1"/>
    <col min="4" max="4" width="11.8516" style="263" customWidth="1"/>
    <col min="5" max="5" width="12.3516" style="263" customWidth="1"/>
    <col min="6" max="6" width="11" style="263" customWidth="1"/>
    <col min="7" max="7" width="15.6719" style="263" customWidth="1"/>
    <col min="8" max="8" width="9" style="263" customWidth="1"/>
    <col min="9" max="9" width="12.3516" style="263" customWidth="1"/>
    <col min="10" max="10" width="11.8516" style="263" customWidth="1"/>
    <col min="11" max="11" width="5.5" style="263" customWidth="1"/>
    <col min="12" max="16" width="11.6719" style="263" customWidth="1"/>
    <col min="17" max="17" width="14.3516" style="263" customWidth="1"/>
    <col min="18" max="18" width="10" style="263" customWidth="1"/>
    <col min="19" max="19" width="13" style="263" customWidth="1"/>
    <col min="20" max="16384" width="8.85156" style="263" customWidth="1"/>
  </cols>
  <sheetData>
    <row r="1" ht="14.25" customHeight="1">
      <c r="A1" t="s" s="7">
        <v>6</v>
      </c>
      <c r="B1" s="8"/>
      <c r="C1" s="8"/>
      <c r="D1" s="8"/>
      <c r="E1" s="8"/>
      <c r="F1" s="9"/>
      <c r="G1" s="9"/>
      <c r="H1" s="9"/>
      <c r="I1" s="9"/>
      <c r="J1" s="9"/>
      <c r="K1" s="10"/>
      <c r="L1" t="s" s="11">
        <v>7</v>
      </c>
      <c r="M1" s="12"/>
      <c r="N1" s="12"/>
      <c r="O1" s="12"/>
      <c r="P1" s="12"/>
      <c r="Q1" s="12"/>
      <c r="R1" s="10"/>
      <c r="S1" s="13"/>
    </row>
    <row r="2" ht="27" customHeight="1">
      <c r="A2" t="s" s="14">
        <v>8</v>
      </c>
      <c r="B2" s="15"/>
      <c r="C2" s="15"/>
      <c r="D2" s="15"/>
      <c r="E2" s="15"/>
      <c r="F2" s="15"/>
      <c r="G2" s="15"/>
      <c r="H2" s="15"/>
      <c r="I2" s="15"/>
      <c r="J2" s="15"/>
      <c r="K2" s="10"/>
      <c r="L2" s="12"/>
      <c r="M2" s="12"/>
      <c r="N2" s="12"/>
      <c r="O2" s="12"/>
      <c r="P2" s="12"/>
      <c r="Q2" s="12"/>
      <c r="R2" s="10"/>
      <c r="S2" s="13"/>
    </row>
    <row r="3" ht="8" customHeight="1">
      <c r="A3" s="16"/>
      <c r="B3" s="16"/>
      <c r="C3" s="16"/>
      <c r="D3" s="16"/>
      <c r="E3" s="16"/>
      <c r="F3" s="16"/>
      <c r="G3" s="16"/>
      <c r="H3" s="16"/>
      <c r="I3" s="16"/>
      <c r="J3" s="16"/>
      <c r="K3" s="17"/>
      <c r="L3" t="s" s="18">
        <v>9</v>
      </c>
      <c r="M3" s="19"/>
      <c r="N3" s="19"/>
      <c r="O3" s="19"/>
      <c r="P3" s="19"/>
      <c r="Q3" s="10"/>
      <c r="R3" s="10"/>
      <c r="S3" s="13"/>
    </row>
    <row r="4" ht="17.25" customHeight="1">
      <c r="A4" t="s" s="20">
        <v>10</v>
      </c>
      <c r="B4" s="21"/>
      <c r="C4" t="s" s="22">
        <v>11</v>
      </c>
      <c r="D4" s="23"/>
      <c r="E4" s="236"/>
      <c r="F4" t="s" s="22">
        <v>13</v>
      </c>
      <c r="G4" s="25"/>
      <c r="H4" s="25"/>
      <c r="I4" s="25"/>
      <c r="J4" s="26"/>
      <c r="K4" s="27"/>
      <c r="L4" s="19"/>
      <c r="M4" s="19"/>
      <c r="N4" s="19"/>
      <c r="O4" s="19"/>
      <c r="P4" s="19"/>
      <c r="Q4" s="10"/>
      <c r="R4" s="10"/>
      <c r="S4" s="13"/>
    </row>
    <row r="5" ht="15" customHeight="1">
      <c r="A5" t="s" s="28">
        <v>14</v>
      </c>
      <c r="B5" s="29"/>
      <c r="C5" s="30"/>
      <c r="D5" s="30"/>
      <c r="E5" s="29"/>
      <c r="F5" s="30"/>
      <c r="G5" s="30"/>
      <c r="H5" s="30"/>
      <c r="I5" s="30"/>
      <c r="J5" s="31"/>
      <c r="K5" s="27"/>
      <c r="L5" t="s" s="32">
        <v>9</v>
      </c>
      <c r="M5" s="33"/>
      <c r="N5" s="34"/>
      <c r="O5" s="33"/>
      <c r="P5" s="33"/>
      <c r="Q5" s="35"/>
      <c r="R5" s="10"/>
      <c r="S5" s="13"/>
    </row>
    <row r="6" ht="21.75" customHeight="1">
      <c r="A6" t="s" s="36">
        <v>15</v>
      </c>
      <c r="B6" s="237"/>
      <c r="C6" s="38"/>
      <c r="D6" s="38"/>
      <c r="E6" s="39"/>
      <c r="F6" t="s" s="40">
        <v>17</v>
      </c>
      <c r="G6" s="41"/>
      <c r="H6" t="s" s="37">
        <v>145</v>
      </c>
      <c r="I6" s="38"/>
      <c r="J6" s="42"/>
      <c r="K6" s="43"/>
      <c r="L6" t="s" s="44">
        <v>19</v>
      </c>
      <c r="M6" s="45"/>
      <c r="N6" t="s" s="46">
        <v>20</v>
      </c>
      <c r="O6" s="47">
        <v>8</v>
      </c>
      <c r="P6" t="s" s="46">
        <v>21</v>
      </c>
      <c r="Q6" s="48">
        <v>6</v>
      </c>
      <c r="R6" s="49"/>
      <c r="S6" s="13"/>
    </row>
    <row r="7" ht="21.75" customHeight="1">
      <c r="A7" t="s" s="50">
        <v>22</v>
      </c>
      <c r="B7" s="51"/>
      <c r="C7" s="51"/>
      <c r="D7" s="51"/>
      <c r="E7" s="51"/>
      <c r="F7" t="s" s="52">
        <v>23</v>
      </c>
      <c r="G7" s="53"/>
      <c r="H7" s="51"/>
      <c r="I7" s="51"/>
      <c r="J7" s="54"/>
      <c r="K7" s="49"/>
      <c r="L7" s="55"/>
      <c r="M7" s="55"/>
      <c r="N7" s="55"/>
      <c r="O7" s="55"/>
      <c r="P7" s="55"/>
      <c r="Q7" s="56"/>
      <c r="R7" s="10"/>
      <c r="S7" s="13"/>
    </row>
    <row r="8" ht="18" customHeight="1">
      <c r="A8" t="s" s="57">
        <v>24</v>
      </c>
      <c r="B8" t="s" s="58">
        <v>146</v>
      </c>
      <c r="C8" s="59"/>
      <c r="D8" t="s" s="60">
        <v>147</v>
      </c>
      <c r="E8" s="59"/>
      <c r="F8" t="s" s="61">
        <v>27</v>
      </c>
      <c r="G8" t="s" s="62">
        <v>28</v>
      </c>
      <c r="H8" s="63"/>
      <c r="I8" s="63"/>
      <c r="J8" s="64"/>
      <c r="K8" s="49"/>
      <c r="L8" s="34"/>
      <c r="M8" s="34"/>
      <c r="N8" s="34"/>
      <c r="O8" s="34"/>
      <c r="P8" s="34"/>
      <c r="Q8" s="35"/>
      <c r="R8" s="10"/>
      <c r="S8" s="13"/>
    </row>
    <row r="9" ht="12" customHeight="1">
      <c r="A9" s="65"/>
      <c r="B9" t="s" s="66">
        <v>29</v>
      </c>
      <c r="C9" s="67"/>
      <c r="D9" s="67"/>
      <c r="E9" s="67"/>
      <c r="F9" s="68"/>
      <c r="G9" s="68"/>
      <c r="H9" s="68"/>
      <c r="I9" s="68"/>
      <c r="J9" s="69"/>
      <c r="K9" s="43"/>
      <c r="L9" t="s" s="70">
        <v>30</v>
      </c>
      <c r="M9" t="s" s="71">
        <v>31</v>
      </c>
      <c r="N9" t="s" s="71">
        <v>32</v>
      </c>
      <c r="O9" t="s" s="71">
        <v>33</v>
      </c>
      <c r="P9" t="s" s="71">
        <v>34</v>
      </c>
      <c r="Q9" t="s" s="72">
        <v>35</v>
      </c>
      <c r="R9" s="49"/>
      <c r="S9" s="13"/>
    </row>
    <row r="10" ht="30" customHeight="1">
      <c r="A10" s="73"/>
      <c r="B10" s="74"/>
      <c r="C10" s="75"/>
      <c r="D10" s="75"/>
      <c r="E10" s="75"/>
      <c r="F10" s="75"/>
      <c r="G10" s="75"/>
      <c r="H10" s="75"/>
      <c r="I10" s="75"/>
      <c r="J10" s="76"/>
      <c r="K10" t="s" s="77">
        <v>9</v>
      </c>
      <c r="L10" t="s" s="78">
        <v>36</v>
      </c>
      <c r="M10" s="79">
        <v>48</v>
      </c>
      <c r="N10" s="80">
        <v>1</v>
      </c>
      <c r="O10" s="81">
        <v>4.34</v>
      </c>
      <c r="P10" s="82">
        <f>M10*O10</f>
        <v>208.32</v>
      </c>
      <c r="Q10" s="83">
        <f>P10/P15</f>
        <v>0.730066165750813</v>
      </c>
      <c r="R10" s="49"/>
      <c r="S10" s="13"/>
    </row>
    <row r="11" ht="19.5" customHeight="1">
      <c r="A11" t="s" s="57">
        <v>37</v>
      </c>
      <c r="B11" t="s" s="84">
        <v>38</v>
      </c>
      <c r="C11" s="85"/>
      <c r="D11" s="86"/>
      <c r="E11" s="87">
        <f>D24</f>
        <v>211719.188067736</v>
      </c>
      <c r="F11" t="s" s="88">
        <v>39</v>
      </c>
      <c r="G11" s="89">
        <f>E11/8</f>
        <v>26464.898508467</v>
      </c>
      <c r="H11" t="s" s="90">
        <v>40</v>
      </c>
      <c r="I11" s="91"/>
      <c r="J11" s="92"/>
      <c r="K11" s="43"/>
      <c r="L11" t="s" s="78">
        <v>41</v>
      </c>
      <c r="M11" s="79">
        <v>9.6</v>
      </c>
      <c r="N11" s="80">
        <v>1</v>
      </c>
      <c r="O11" s="81">
        <v>4.34</v>
      </c>
      <c r="P11" s="82">
        <f>M11*O11</f>
        <v>41.664</v>
      </c>
      <c r="Q11" s="83">
        <f>P11/P15</f>
        <v>0.146013233150163</v>
      </c>
      <c r="R11" s="49"/>
      <c r="S11" s="13"/>
    </row>
    <row r="12" ht="17.25" customHeight="1">
      <c r="A12" s="65"/>
      <c r="B12" t="s" s="93">
        <v>42</v>
      </c>
      <c r="C12" s="94"/>
      <c r="D12" s="94"/>
      <c r="E12" s="95"/>
      <c r="F12" s="94"/>
      <c r="G12" s="95"/>
      <c r="H12" s="94"/>
      <c r="I12" s="94"/>
      <c r="J12" s="96"/>
      <c r="K12" s="43"/>
      <c r="L12" t="s" s="78">
        <v>43</v>
      </c>
      <c r="M12" s="79">
        <v>12</v>
      </c>
      <c r="N12" s="80">
        <v>1</v>
      </c>
      <c r="O12" s="81">
        <v>0</v>
      </c>
      <c r="P12" s="82">
        <f>M12*N12*O12</f>
        <v>0</v>
      </c>
      <c r="Q12" s="83">
        <f>P12/P15</f>
        <v>0</v>
      </c>
      <c r="R12" s="98"/>
      <c r="S12" s="99"/>
    </row>
    <row r="13" ht="17.25" customHeight="1">
      <c r="A13" s="65"/>
      <c r="B13" s="100"/>
      <c r="C13" s="94"/>
      <c r="D13" s="94"/>
      <c r="E13" s="94"/>
      <c r="F13" s="94"/>
      <c r="G13" s="94"/>
      <c r="H13" s="94"/>
      <c r="I13" s="94"/>
      <c r="J13" s="96"/>
      <c r="K13" s="43"/>
      <c r="L13" t="s" s="78">
        <v>44</v>
      </c>
      <c r="M13" s="79">
        <v>8</v>
      </c>
      <c r="N13" s="80">
        <v>0.5</v>
      </c>
      <c r="O13" s="81">
        <v>4.34</v>
      </c>
      <c r="P13" s="82">
        <f>M13*N13*O13</f>
        <v>17.36</v>
      </c>
      <c r="Q13" s="101">
        <f>P13/P15</f>
        <v>0.0608388471459011</v>
      </c>
      <c r="R13" s="49"/>
      <c r="S13" s="13"/>
    </row>
    <row r="14" ht="17.25" customHeight="1">
      <c r="A14" s="65"/>
      <c r="B14" s="100"/>
      <c r="C14" s="94"/>
      <c r="D14" s="94"/>
      <c r="E14" s="94"/>
      <c r="F14" s="94"/>
      <c r="G14" s="94"/>
      <c r="H14" s="94"/>
      <c r="I14" s="94"/>
      <c r="J14" s="96"/>
      <c r="K14" s="43"/>
      <c r="L14" t="s" s="78">
        <v>45</v>
      </c>
      <c r="M14" s="81">
        <v>0</v>
      </c>
      <c r="N14" s="80"/>
      <c r="O14" s="81">
        <v>0</v>
      </c>
      <c r="P14" s="82">
        <v>18</v>
      </c>
      <c r="Q14" s="101">
        <f>P14/P15</f>
        <v>0.0630817539531232</v>
      </c>
      <c r="R14" s="49"/>
      <c r="S14" s="13"/>
    </row>
    <row r="15" ht="13.5" customHeight="1">
      <c r="A15" s="65"/>
      <c r="B15" t="s" s="102">
        <v>46</v>
      </c>
      <c r="C15" s="68"/>
      <c r="D15" s="68"/>
      <c r="E15" s="68"/>
      <c r="F15" s="68"/>
      <c r="G15" s="68"/>
      <c r="H15" s="68"/>
      <c r="I15" s="68"/>
      <c r="J15" s="69"/>
      <c r="K15" s="43"/>
      <c r="L15" t="s" s="103">
        <v>47</v>
      </c>
      <c r="M15" s="104"/>
      <c r="N15" s="104"/>
      <c r="O15" s="105">
        <v>0</v>
      </c>
      <c r="P15" s="106">
        <f>SUM(P10:P14)</f>
        <v>285.344</v>
      </c>
      <c r="Q15" s="107">
        <f>SUM(Q10:Q14)</f>
        <v>1</v>
      </c>
      <c r="R15" s="49"/>
      <c r="S15" s="13"/>
    </row>
    <row r="16" ht="13.5" customHeight="1">
      <c r="A16" s="65"/>
      <c r="B16" s="108"/>
      <c r="C16" s="68"/>
      <c r="D16" s="68"/>
      <c r="E16" s="68"/>
      <c r="F16" s="68"/>
      <c r="G16" s="68"/>
      <c r="H16" s="68"/>
      <c r="I16" s="68"/>
      <c r="J16" s="69"/>
      <c r="K16" s="49"/>
      <c r="L16" s="56"/>
      <c r="M16" s="56"/>
      <c r="N16" s="56"/>
      <c r="O16" s="56"/>
      <c r="P16" s="56"/>
      <c r="Q16" s="56"/>
      <c r="R16" s="10"/>
      <c r="S16" s="13"/>
    </row>
    <row r="17" ht="21" customHeight="1">
      <c r="A17" s="65"/>
      <c r="B17" t="s" s="102">
        <v>48</v>
      </c>
      <c r="C17" s="68"/>
      <c r="D17" s="68"/>
      <c r="E17" s="68"/>
      <c r="F17" s="68"/>
      <c r="G17" s="109"/>
      <c r="H17" s="109"/>
      <c r="I17" s="109"/>
      <c r="J17" s="110"/>
      <c r="K17" s="49"/>
      <c r="L17" s="111"/>
      <c r="M17" s="112"/>
      <c r="N17" t="s" s="113">
        <v>49</v>
      </c>
      <c r="O17" s="114"/>
      <c r="P17" s="114"/>
      <c r="Q17" s="115">
        <v>9620</v>
      </c>
      <c r="R17" s="10"/>
      <c r="S17" s="13"/>
    </row>
    <row r="18" ht="15.75" customHeight="1">
      <c r="A18" s="65"/>
      <c r="B18" t="s" s="116">
        <v>108</v>
      </c>
      <c r="C18" s="117"/>
      <c r="D18" s="117"/>
      <c r="E18" s="117"/>
      <c r="F18" s="118"/>
      <c r="G18" s="119">
        <v>290000</v>
      </c>
      <c r="H18" t="s" s="120">
        <v>51</v>
      </c>
      <c r="I18" s="121"/>
      <c r="J18" s="122"/>
      <c r="K18" s="49"/>
      <c r="L18" s="111"/>
      <c r="M18" s="112"/>
      <c r="N18" s="10"/>
      <c r="O18" s="10"/>
      <c r="P18" s="123"/>
      <c r="Q18" s="10"/>
      <c r="R18" s="10"/>
      <c r="S18" s="13"/>
    </row>
    <row r="19" ht="15.75" customHeight="1">
      <c r="A19" s="65"/>
      <c r="B19" t="s" s="124">
        <v>121</v>
      </c>
      <c r="C19" s="125"/>
      <c r="D19" s="125"/>
      <c r="E19" s="125"/>
      <c r="F19" s="125"/>
      <c r="G19" s="126"/>
      <c r="H19" s="126"/>
      <c r="I19" s="126"/>
      <c r="J19" s="127"/>
      <c r="K19" s="49"/>
      <c r="L19" t="s" s="128">
        <v>53</v>
      </c>
      <c r="M19" s="129"/>
      <c r="N19" s="129"/>
      <c r="O19" s="129"/>
      <c r="P19" s="129"/>
      <c r="Q19" s="130"/>
      <c r="R19" s="10"/>
      <c r="S19" s="13"/>
    </row>
    <row r="20" ht="15.75" customHeight="1">
      <c r="A20" s="65"/>
      <c r="B20" t="s" s="124">
        <v>54</v>
      </c>
      <c r="C20" s="125"/>
      <c r="D20" s="125"/>
      <c r="E20" s="125"/>
      <c r="F20" s="125"/>
      <c r="G20" s="125"/>
      <c r="H20" s="125"/>
      <c r="I20" s="125"/>
      <c r="J20" s="131"/>
      <c r="K20" s="49"/>
      <c r="L20" t="s" s="128">
        <v>55</v>
      </c>
      <c r="M20" s="129"/>
      <c r="N20" s="129"/>
      <c r="O20" s="129"/>
      <c r="P20" s="129"/>
      <c r="Q20" s="130"/>
      <c r="R20" s="10"/>
      <c r="S20" s="13"/>
    </row>
    <row r="21" ht="15.75" customHeight="1">
      <c r="A21" s="73"/>
      <c r="B21" t="s" s="132">
        <v>122</v>
      </c>
      <c r="C21" s="133"/>
      <c r="D21" s="133"/>
      <c r="E21" s="133"/>
      <c r="F21" s="133"/>
      <c r="G21" s="133"/>
      <c r="H21" s="133"/>
      <c r="I21" s="133"/>
      <c r="J21" s="134"/>
      <c r="K21" s="49"/>
      <c r="L21" t="s" s="128">
        <v>57</v>
      </c>
      <c r="M21" s="129"/>
      <c r="N21" s="129"/>
      <c r="O21" s="129"/>
      <c r="P21" s="129"/>
      <c r="Q21" s="130"/>
      <c r="R21" s="10"/>
      <c r="S21" s="13"/>
    </row>
    <row r="22" ht="18.75" customHeight="1">
      <c r="A22" t="s" s="135">
        <v>58</v>
      </c>
      <c r="B22" t="s" s="136">
        <v>59</v>
      </c>
      <c r="C22" s="137"/>
      <c r="D22" t="s" s="138">
        <v>36</v>
      </c>
      <c r="E22" t="s" s="138">
        <v>60</v>
      </c>
      <c r="F22" t="s" s="138">
        <v>43</v>
      </c>
      <c r="G22" t="s" s="139">
        <v>61</v>
      </c>
      <c r="H22" s="140"/>
      <c r="I22" t="s" s="139">
        <v>45</v>
      </c>
      <c r="J22" s="141"/>
      <c r="K22" s="49"/>
      <c r="L22" t="s" s="128">
        <v>62</v>
      </c>
      <c r="M22" s="129"/>
      <c r="N22" s="129"/>
      <c r="O22" s="129"/>
      <c r="P22" s="129"/>
      <c r="Q22" s="130"/>
      <c r="R22" s="129"/>
      <c r="S22" s="142"/>
    </row>
    <row r="23" ht="18.75" customHeight="1">
      <c r="A23" s="143"/>
      <c r="B23" t="s" s="144">
        <v>63</v>
      </c>
      <c r="C23" s="145"/>
      <c r="D23" s="146">
        <f>Q10</f>
        <v>0.730066165750813</v>
      </c>
      <c r="E23" s="146">
        <f>Q11</f>
        <v>0.146013233150163</v>
      </c>
      <c r="F23" s="146">
        <f>Q12</f>
        <v>0</v>
      </c>
      <c r="G23" s="147">
        <f>Q13</f>
        <v>0.0608388471459011</v>
      </c>
      <c r="H23" s="148"/>
      <c r="I23" s="147">
        <f>Q14</f>
        <v>0.0630817539531232</v>
      </c>
      <c r="J23" s="149"/>
      <c r="K23" s="49"/>
      <c r="L23" s="129"/>
      <c r="M23" s="129"/>
      <c r="N23" s="129"/>
      <c r="O23" s="129"/>
      <c r="P23" s="129"/>
      <c r="Q23" s="129"/>
      <c r="R23" s="129"/>
      <c r="S23" s="142"/>
    </row>
    <row r="24" ht="18.75" customHeight="1">
      <c r="A24" s="150"/>
      <c r="B24" t="s" s="151">
        <v>64</v>
      </c>
      <c r="C24" s="152">
        <f>G11</f>
        <v>26464.898508467</v>
      </c>
      <c r="D24" s="153">
        <f>G18*$D$23</f>
        <v>211719.188067736</v>
      </c>
      <c r="E24" s="153">
        <f>G18*$E$23</f>
        <v>42343.8376135473</v>
      </c>
      <c r="F24" s="153">
        <f>G18*$F$23</f>
        <v>0</v>
      </c>
      <c r="G24" s="154">
        <f>G18*$G$23</f>
        <v>17643.2656723113</v>
      </c>
      <c r="H24" s="155"/>
      <c r="I24" s="156">
        <f>G18*$I$23</f>
        <v>18293.7086464057</v>
      </c>
      <c r="J24" s="157"/>
      <c r="K24" s="49"/>
      <c r="L24" s="129"/>
      <c r="M24" s="129"/>
      <c r="N24" s="129"/>
      <c r="O24" s="129"/>
      <c r="P24" s="129"/>
      <c r="Q24" s="129"/>
      <c r="R24" s="129"/>
      <c r="S24" s="142"/>
    </row>
    <row r="25" ht="54.75" customHeight="1">
      <c r="A25" t="s" s="135">
        <v>65</v>
      </c>
      <c r="B25" t="s" s="158">
        <v>123</v>
      </c>
      <c r="C25" s="159"/>
      <c r="D25" s="159"/>
      <c r="E25" s="159"/>
      <c r="F25" s="159"/>
      <c r="G25" s="159"/>
      <c r="H25" s="159"/>
      <c r="I25" s="159"/>
      <c r="J25" s="160"/>
      <c r="K25" s="49"/>
      <c r="L25" t="s" s="128">
        <v>9</v>
      </c>
      <c r="M25" s="129"/>
      <c r="N25" s="129"/>
      <c r="O25" s="129"/>
      <c r="P25" s="129"/>
      <c r="Q25" s="130"/>
      <c r="R25" s="10"/>
      <c r="S25" s="142"/>
    </row>
    <row r="26" ht="66.75" customHeight="1">
      <c r="A26" s="73"/>
      <c r="B26" s="74"/>
      <c r="C26" s="75"/>
      <c r="D26" s="75"/>
      <c r="E26" s="75"/>
      <c r="F26" s="75"/>
      <c r="G26" s="75"/>
      <c r="H26" s="75"/>
      <c r="I26" s="75"/>
      <c r="J26" s="76"/>
      <c r="K26" s="49"/>
      <c r="L26" t="s" s="128">
        <v>9</v>
      </c>
      <c r="M26" s="129"/>
      <c r="N26" s="129"/>
      <c r="O26" s="129"/>
      <c r="P26" s="129"/>
      <c r="Q26" s="130"/>
      <c r="R26" s="10"/>
      <c r="S26" s="142"/>
    </row>
    <row r="27" ht="27.75" customHeight="1">
      <c r="A27" t="s" s="57">
        <v>67</v>
      </c>
      <c r="B27" t="s" s="158">
        <v>68</v>
      </c>
      <c r="C27" s="159"/>
      <c r="D27" s="159"/>
      <c r="E27" s="159"/>
      <c r="F27" s="159"/>
      <c r="G27" s="159"/>
      <c r="H27" s="159"/>
      <c r="I27" s="159"/>
      <c r="J27" s="160"/>
      <c r="K27" s="49"/>
      <c r="L27" s="161">
        <f>C24*8</f>
        <v>211719.188067736</v>
      </c>
      <c r="M27" s="162">
        <f>E24*5</f>
        <v>211719.188067737</v>
      </c>
      <c r="N27" s="129"/>
      <c r="O27" s="162"/>
      <c r="P27" s="163"/>
      <c r="Q27" s="162"/>
      <c r="R27" s="164"/>
      <c r="S27" s="165"/>
    </row>
    <row r="28" ht="27.75" customHeight="1">
      <c r="A28" s="73"/>
      <c r="B28" s="74"/>
      <c r="C28" s="75"/>
      <c r="D28" s="75"/>
      <c r="E28" s="75"/>
      <c r="F28" s="75"/>
      <c r="G28" s="75"/>
      <c r="H28" s="75"/>
      <c r="I28" s="75"/>
      <c r="J28" s="76"/>
      <c r="K28" s="49"/>
      <c r="L28" s="161"/>
      <c r="M28" s="163"/>
      <c r="N28" s="10"/>
      <c r="O28" s="10"/>
      <c r="P28" s="10"/>
      <c r="Q28" s="10"/>
      <c r="R28" s="164"/>
      <c r="S28" s="165"/>
    </row>
    <row r="29" ht="40.5" customHeight="1">
      <c r="A29" t="s" s="166">
        <v>69</v>
      </c>
      <c r="B29" t="s" s="167">
        <v>70</v>
      </c>
      <c r="C29" s="168"/>
      <c r="D29" s="168"/>
      <c r="E29" s="168"/>
      <c r="F29" s="168"/>
      <c r="G29" s="168"/>
      <c r="H29" s="168"/>
      <c r="I29" s="168"/>
      <c r="J29" s="169"/>
      <c r="K29" s="49"/>
      <c r="L29" t="s" s="170">
        <v>71</v>
      </c>
      <c r="M29" s="171"/>
      <c r="N29" s="171"/>
      <c r="O29" s="171"/>
      <c r="P29" s="171"/>
      <c r="Q29" s="171"/>
      <c r="R29" s="164"/>
      <c r="S29" s="165"/>
    </row>
    <row r="30" ht="23.25" customHeight="1">
      <c r="A30" t="s" s="135">
        <v>72</v>
      </c>
      <c r="B30" t="s" s="158">
        <v>73</v>
      </c>
      <c r="C30" s="159"/>
      <c r="D30" s="159"/>
      <c r="E30" s="159"/>
      <c r="F30" s="159"/>
      <c r="G30" s="159"/>
      <c r="H30" s="159"/>
      <c r="I30" s="159"/>
      <c r="J30" s="160"/>
      <c r="K30" s="49"/>
      <c r="L30" s="171"/>
      <c r="M30" s="171"/>
      <c r="N30" s="171"/>
      <c r="O30" s="171"/>
      <c r="P30" s="171"/>
      <c r="Q30" s="171"/>
      <c r="R30" s="164"/>
      <c r="S30" s="164"/>
    </row>
    <row r="31" ht="23.25" customHeight="1">
      <c r="A31" s="143"/>
      <c r="B31" s="108"/>
      <c r="C31" s="68"/>
      <c r="D31" s="68"/>
      <c r="E31" s="68"/>
      <c r="F31" s="68"/>
      <c r="G31" s="68"/>
      <c r="H31" s="68"/>
      <c r="I31" s="68"/>
      <c r="J31" s="69"/>
      <c r="K31" s="49"/>
      <c r="L31" s="171"/>
      <c r="M31" s="171"/>
      <c r="N31" s="171"/>
      <c r="O31" s="171"/>
      <c r="P31" s="171"/>
      <c r="Q31" s="171"/>
      <c r="R31" s="10"/>
      <c r="S31" s="142"/>
    </row>
    <row r="32" ht="23.25" customHeight="1">
      <c r="A32" s="143"/>
      <c r="B32" s="108"/>
      <c r="C32" s="68"/>
      <c r="D32" s="68"/>
      <c r="E32" s="68"/>
      <c r="F32" s="68"/>
      <c r="G32" s="68"/>
      <c r="H32" s="68"/>
      <c r="I32" s="68"/>
      <c r="J32" s="69"/>
      <c r="K32" s="49"/>
      <c r="L32" s="171"/>
      <c r="M32" s="171"/>
      <c r="N32" s="171"/>
      <c r="O32" s="171"/>
      <c r="P32" s="171"/>
      <c r="Q32" s="171"/>
      <c r="R32" s="10"/>
      <c r="S32" s="142"/>
    </row>
    <row r="33" ht="23.25" customHeight="1">
      <c r="A33" s="143"/>
      <c r="B33" s="108"/>
      <c r="C33" s="68"/>
      <c r="D33" s="68"/>
      <c r="E33" s="68"/>
      <c r="F33" s="68"/>
      <c r="G33" s="68"/>
      <c r="H33" s="68"/>
      <c r="I33" s="68"/>
      <c r="J33" s="69"/>
      <c r="K33" s="49"/>
      <c r="L33" s="172"/>
      <c r="M33" s="172"/>
      <c r="N33" s="172"/>
      <c r="O33" s="172"/>
      <c r="P33" s="172"/>
      <c r="Q33" s="10"/>
      <c r="R33" s="10"/>
      <c r="S33" s="142"/>
    </row>
    <row r="34" ht="23.25" customHeight="1">
      <c r="A34" s="143"/>
      <c r="B34" s="108"/>
      <c r="C34" s="68"/>
      <c r="D34" s="68"/>
      <c r="E34" s="68"/>
      <c r="F34" s="68"/>
      <c r="G34" s="68"/>
      <c r="H34" s="68"/>
      <c r="I34" s="68"/>
      <c r="J34" s="69"/>
      <c r="K34" s="173"/>
      <c r="L34" s="174"/>
      <c r="M34" s="174"/>
      <c r="N34" s="174"/>
      <c r="O34" s="174"/>
      <c r="P34" s="174"/>
      <c r="Q34" s="175"/>
      <c r="R34" s="10"/>
      <c r="S34" s="142"/>
    </row>
    <row r="35" ht="28.5" customHeight="1">
      <c r="A35" s="150"/>
      <c r="B35" s="74"/>
      <c r="C35" s="75"/>
      <c r="D35" s="75"/>
      <c r="E35" s="75"/>
      <c r="F35" s="75"/>
      <c r="G35" s="75"/>
      <c r="H35" s="75"/>
      <c r="I35" s="75"/>
      <c r="J35" s="76"/>
      <c r="K35" s="173"/>
      <c r="L35" s="176"/>
      <c r="M35" s="176"/>
      <c r="N35" s="176"/>
      <c r="O35" s="176"/>
      <c r="P35" s="176"/>
      <c r="Q35" s="177"/>
      <c r="R35" s="178"/>
      <c r="S35" s="142"/>
    </row>
    <row r="36" ht="21" customHeight="1">
      <c r="A36" t="s" s="135">
        <v>74</v>
      </c>
      <c r="B36" t="s" s="158">
        <v>124</v>
      </c>
      <c r="C36" s="159"/>
      <c r="D36" s="159"/>
      <c r="E36" s="159"/>
      <c r="F36" s="159"/>
      <c r="G36" s="159"/>
      <c r="H36" s="159"/>
      <c r="I36" s="159"/>
      <c r="J36" s="160"/>
      <c r="K36" s="173"/>
      <c r="L36" s="179"/>
      <c r="M36" s="179"/>
      <c r="N36" s="179"/>
      <c r="O36" s="179"/>
      <c r="P36" s="179"/>
      <c r="Q36" s="180"/>
      <c r="R36" s="181"/>
      <c r="S36" s="182"/>
    </row>
    <row r="37" ht="19.5" customHeight="1">
      <c r="A37" s="143"/>
      <c r="B37" s="108"/>
      <c r="C37" s="68"/>
      <c r="D37" s="68"/>
      <c r="E37" s="68"/>
      <c r="F37" s="68"/>
      <c r="G37" s="68"/>
      <c r="H37" s="68"/>
      <c r="I37" s="68"/>
      <c r="J37" s="69"/>
      <c r="K37" s="173"/>
      <c r="L37" s="183"/>
      <c r="M37" s="183"/>
      <c r="N37" s="183"/>
      <c r="O37" s="183"/>
      <c r="P37" s="183"/>
      <c r="Q37" s="184"/>
      <c r="R37" s="185"/>
      <c r="S37" s="182"/>
    </row>
    <row r="38" ht="19.5" customHeight="1">
      <c r="A38" s="143"/>
      <c r="B38" s="108"/>
      <c r="C38" s="68"/>
      <c r="D38" s="68"/>
      <c r="E38" s="68"/>
      <c r="F38" s="68"/>
      <c r="G38" s="68"/>
      <c r="H38" s="68"/>
      <c r="I38" s="68"/>
      <c r="J38" s="69"/>
      <c r="K38" s="173"/>
      <c r="L38" s="186"/>
      <c r="M38" s="186"/>
      <c r="N38" s="186"/>
      <c r="O38" s="186"/>
      <c r="P38" s="186"/>
      <c r="Q38" s="187"/>
      <c r="R38" s="188"/>
      <c r="S38" s="182"/>
    </row>
    <row r="39" ht="19.5" customHeight="1">
      <c r="A39" s="143"/>
      <c r="B39" s="108"/>
      <c r="C39" s="68"/>
      <c r="D39" s="68"/>
      <c r="E39" s="68"/>
      <c r="F39" s="68"/>
      <c r="G39" s="68"/>
      <c r="H39" s="68"/>
      <c r="I39" s="68"/>
      <c r="J39" s="69"/>
      <c r="K39" s="173"/>
      <c r="L39" s="186"/>
      <c r="M39" s="186"/>
      <c r="N39" s="186"/>
      <c r="O39" s="186"/>
      <c r="P39" s="186"/>
      <c r="Q39" s="187"/>
      <c r="R39" s="188"/>
      <c r="S39" s="182"/>
    </row>
    <row r="40" ht="19.5" customHeight="1">
      <c r="A40" s="150"/>
      <c r="B40" s="74"/>
      <c r="C40" s="75"/>
      <c r="D40" s="75"/>
      <c r="E40" s="75"/>
      <c r="F40" s="75"/>
      <c r="G40" s="75"/>
      <c r="H40" s="75"/>
      <c r="I40" s="75"/>
      <c r="J40" s="76"/>
      <c r="K40" s="173"/>
      <c r="L40" s="186"/>
      <c r="M40" s="186"/>
      <c r="N40" s="186"/>
      <c r="O40" s="186"/>
      <c r="P40" s="186"/>
      <c r="Q40" s="187"/>
      <c r="R40" s="188"/>
      <c r="S40" s="182"/>
    </row>
    <row r="41" ht="17.1" customHeight="1">
      <c r="A41" t="s" s="135">
        <v>76</v>
      </c>
      <c r="B41" t="s" s="167">
        <v>77</v>
      </c>
      <c r="C41" s="168"/>
      <c r="D41" s="168"/>
      <c r="E41" s="168"/>
      <c r="F41" s="168"/>
      <c r="G41" s="168"/>
      <c r="H41" s="168"/>
      <c r="I41" s="168"/>
      <c r="J41" s="169"/>
      <c r="K41" s="173"/>
      <c r="L41" s="186"/>
      <c r="M41" s="186"/>
      <c r="N41" s="186"/>
      <c r="O41" s="186"/>
      <c r="P41" s="186"/>
      <c r="Q41" s="187"/>
      <c r="R41" s="188"/>
      <c r="S41" s="182"/>
    </row>
    <row r="42" ht="19.5" customHeight="1">
      <c r="A42" s="143"/>
      <c r="B42" t="s" s="189">
        <v>78</v>
      </c>
      <c r="C42" s="190"/>
      <c r="D42" t="s" s="189">
        <v>79</v>
      </c>
      <c r="E42" s="190"/>
      <c r="F42" t="s" s="189">
        <v>80</v>
      </c>
      <c r="G42" s="190"/>
      <c r="H42" t="s" s="189">
        <v>81</v>
      </c>
      <c r="I42" s="190"/>
      <c r="J42" t="s" s="191">
        <v>82</v>
      </c>
      <c r="K42" s="192"/>
      <c r="L42" s="186"/>
      <c r="M42" s="186"/>
      <c r="N42" s="186"/>
      <c r="O42" s="186"/>
      <c r="P42" s="186"/>
      <c r="Q42" s="187"/>
      <c r="R42" s="188"/>
      <c r="S42" s="182"/>
    </row>
    <row r="43" ht="19.5" customHeight="1">
      <c r="A43" s="143"/>
      <c r="B43" t="s" s="193">
        <v>83</v>
      </c>
      <c r="C43" s="194"/>
      <c r="D43" t="s" s="193">
        <v>83</v>
      </c>
      <c r="E43" s="194"/>
      <c r="F43" t="s" s="193">
        <v>83</v>
      </c>
      <c r="G43" s="194"/>
      <c r="H43" t="s" s="193">
        <v>83</v>
      </c>
      <c r="I43" s="194"/>
      <c r="J43" t="s" s="195">
        <v>83</v>
      </c>
      <c r="K43" s="192"/>
      <c r="L43" s="186"/>
      <c r="M43" s="186"/>
      <c r="N43" s="186"/>
      <c r="O43" s="186"/>
      <c r="P43" s="186"/>
      <c r="Q43" s="187"/>
      <c r="R43" s="188"/>
      <c r="S43" s="182"/>
    </row>
    <row r="44" ht="19.5" customHeight="1">
      <c r="A44" s="150"/>
      <c r="B44" t="s" s="167">
        <v>125</v>
      </c>
      <c r="C44" s="168"/>
      <c r="D44" s="168"/>
      <c r="E44" s="168"/>
      <c r="F44" s="168"/>
      <c r="G44" s="168"/>
      <c r="H44" s="168"/>
      <c r="I44" s="168"/>
      <c r="J44" s="169"/>
      <c r="K44" s="173"/>
      <c r="L44" s="186"/>
      <c r="M44" s="186"/>
      <c r="N44" s="186"/>
      <c r="O44" s="186"/>
      <c r="P44" s="186"/>
      <c r="Q44" s="187"/>
      <c r="R44" s="188"/>
      <c r="S44" s="182"/>
    </row>
    <row r="45" ht="21" customHeight="1">
      <c r="A45" t="s" s="196">
        <v>85</v>
      </c>
      <c r="B45" t="s" s="197">
        <v>126</v>
      </c>
      <c r="C45" s="198"/>
      <c r="D45" s="198"/>
      <c r="E45" s="198"/>
      <c r="F45" s="198"/>
      <c r="G45" s="198"/>
      <c r="H45" s="198"/>
      <c r="I45" s="198"/>
      <c r="J45" s="199"/>
      <c r="K45" s="49"/>
      <c r="L45" s="200"/>
      <c r="M45" s="200"/>
      <c r="N45" s="200"/>
      <c r="O45" s="200"/>
      <c r="P45" s="200"/>
      <c r="Q45" s="10"/>
      <c r="R45" s="200"/>
      <c r="S45" s="142"/>
    </row>
    <row r="46" ht="19.5" customHeight="1">
      <c r="A46" t="s" s="201">
        <v>148</v>
      </c>
      <c r="B46" s="202"/>
      <c r="C46" s="202"/>
      <c r="D46" s="202"/>
      <c r="E46" s="202"/>
      <c r="F46" s="202"/>
      <c r="G46" s="202"/>
      <c r="H46" s="202"/>
      <c r="I46" s="202"/>
      <c r="J46" s="203"/>
      <c r="K46" s="49"/>
      <c r="L46" s="10"/>
      <c r="M46" s="10"/>
      <c r="N46" s="10"/>
      <c r="O46" s="10"/>
      <c r="P46" s="10"/>
      <c r="Q46" s="10"/>
      <c r="R46" s="10"/>
      <c r="S46" s="13"/>
    </row>
    <row r="47" ht="23.25" customHeight="1">
      <c r="A47" t="s" s="204">
        <v>88</v>
      </c>
      <c r="B47" s="205"/>
      <c r="C47" s="205"/>
      <c r="D47" s="205"/>
      <c r="E47" s="205"/>
      <c r="F47" t="s" s="206">
        <v>89</v>
      </c>
      <c r="G47" s="205"/>
      <c r="H47" s="205"/>
      <c r="I47" s="205"/>
      <c r="J47" s="207"/>
      <c r="K47" s="49"/>
      <c r="L47" s="10"/>
      <c r="M47" s="10"/>
      <c r="N47" s="10"/>
      <c r="O47" s="10"/>
      <c r="P47" s="10"/>
      <c r="Q47" s="10"/>
      <c r="R47" s="10"/>
      <c r="S47" s="161"/>
    </row>
    <row r="48" ht="23.25" customHeight="1">
      <c r="A48" t="s" s="208">
        <v>90</v>
      </c>
      <c r="B48" s="209"/>
      <c r="C48" t="s" s="210">
        <f>A4</f>
        <v>91</v>
      </c>
      <c r="D48" s="209"/>
      <c r="E48" s="209"/>
      <c r="F48" t="s" s="211">
        <v>92</v>
      </c>
      <c r="G48" t="s" s="243">
        <v>128</v>
      </c>
      <c r="H48" s="244"/>
      <c r="I48" s="244"/>
      <c r="J48" s="245"/>
      <c r="K48" s="49"/>
      <c r="L48" s="10"/>
      <c r="M48" s="10"/>
      <c r="N48" s="10"/>
      <c r="O48" s="10"/>
      <c r="P48" s="10"/>
      <c r="Q48" s="10"/>
      <c r="R48" s="10"/>
      <c r="S48" s="13"/>
    </row>
    <row r="49" ht="23.25" customHeight="1">
      <c r="A49" t="s" s="215">
        <v>94</v>
      </c>
      <c r="B49" s="216"/>
      <c r="C49" t="s" s="217">
        <v>95</v>
      </c>
      <c r="D49" s="216"/>
      <c r="E49" s="216"/>
      <c r="F49" t="s" s="246">
        <v>96</v>
      </c>
      <c r="G49" s="216"/>
      <c r="H49" s="216"/>
      <c r="I49" s="216"/>
      <c r="J49" s="247"/>
      <c r="K49" s="49"/>
      <c r="L49" s="10"/>
      <c r="M49" s="10"/>
      <c r="N49" s="10"/>
      <c r="O49" s="10"/>
      <c r="P49" s="10"/>
      <c r="Q49" s="10"/>
      <c r="R49" s="10"/>
      <c r="S49" s="13"/>
    </row>
    <row r="50" ht="23.25" customHeight="1">
      <c r="A50" t="s" s="215">
        <v>98</v>
      </c>
      <c r="B50" s="216"/>
      <c r="C50" s="216"/>
      <c r="D50" s="216"/>
      <c r="E50" s="216"/>
      <c r="F50" t="s" s="217">
        <v>99</v>
      </c>
      <c r="G50" s="216"/>
      <c r="H50" s="216"/>
      <c r="I50" s="216"/>
      <c r="J50" s="247"/>
      <c r="K50" s="49"/>
      <c r="L50" s="10"/>
      <c r="M50" s="10"/>
      <c r="N50" s="10"/>
      <c r="O50" s="10"/>
      <c r="P50" s="10"/>
      <c r="Q50" s="10"/>
      <c r="R50" s="10"/>
      <c r="S50" s="13"/>
    </row>
    <row r="51" ht="23.25" customHeight="1">
      <c r="A51" t="s" s="226">
        <v>101</v>
      </c>
      <c r="B51" s="227"/>
      <c r="C51" t="s" s="248">
        <v>149</v>
      </c>
      <c r="D51" s="249"/>
      <c r="E51" s="249"/>
      <c r="F51" t="s" s="250">
        <v>103</v>
      </c>
      <c r="G51" s="227"/>
      <c r="H51" s="227"/>
      <c r="I51" s="227"/>
      <c r="J51" s="251"/>
      <c r="K51" s="49"/>
      <c r="L51" s="10"/>
      <c r="M51" s="10"/>
      <c r="N51" s="10"/>
      <c r="O51" s="10"/>
      <c r="P51" s="10"/>
      <c r="Q51" s="10"/>
      <c r="R51" s="10"/>
      <c r="S51" s="1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conditionalFormatting sqref="M5:M6 O5:P5 E11 G11 H18:J18 C24:H24 P27 M28 L36:P44">
    <cfRule type="cellIs" dxfId="6" priority="1" operator="lessThan" stopIfTrue="1">
      <formula>0</formula>
    </cfRule>
  </conditionalFormatting>
  <pageMargins left="0.7" right="0.7" top="0.75" bottom="0.75" header="0.3" footer="0.3"/>
  <pageSetup firstPageNumber="1" fitToHeight="1" fitToWidth="1" scale="65" useFirstPageNumber="0" orientation="portrait" pageOrder="downThenOver"/>
  <headerFooter>
    <oddFooter>&amp;C&amp;"Helvetica Neue,Regular"&amp;12&amp;K000000&amp;P</oddFooter>
  </headerFooter>
  <drawing r:id="rId1"/>
  <legacyDrawing r:id="rId2"/>
</worksheet>
</file>

<file path=xl/worksheets/sheet9.xml><?xml version="1.0" encoding="utf-8"?>
<worksheet xmlns:r="http://schemas.openxmlformats.org/officeDocument/2006/relationships" xmlns="http://schemas.openxmlformats.org/spreadsheetml/2006/main">
  <dimension ref="A1:S51"/>
  <sheetViews>
    <sheetView workbookViewId="0" showGridLines="0" defaultGridColor="1"/>
  </sheetViews>
  <sheetFormatPr defaultColWidth="8.83333" defaultRowHeight="16.5" customHeight="1" outlineLevelRow="0" outlineLevelCol="0"/>
  <cols>
    <col min="1" max="1" width="10.3516" style="264" customWidth="1"/>
    <col min="2" max="2" width="12.5" style="264" customWidth="1"/>
    <col min="3" max="3" width="12.3516" style="264" customWidth="1"/>
    <col min="4" max="4" width="11.8516" style="264" customWidth="1"/>
    <col min="5" max="5" width="12.3516" style="264" customWidth="1"/>
    <col min="6" max="6" width="11" style="264" customWidth="1"/>
    <col min="7" max="7" width="15.6719" style="264" customWidth="1"/>
    <col min="8" max="8" width="9" style="264" customWidth="1"/>
    <col min="9" max="9" width="12.3516" style="264" customWidth="1"/>
    <col min="10" max="10" width="11.8516" style="264" customWidth="1"/>
    <col min="11" max="11" width="5.5" style="264" customWidth="1"/>
    <col min="12" max="16" width="11.6719" style="264" customWidth="1"/>
    <col min="17" max="17" width="14.3516" style="264" customWidth="1"/>
    <col min="18" max="18" width="10" style="264" customWidth="1"/>
    <col min="19" max="19" width="13" style="264" customWidth="1"/>
    <col min="20" max="16384" width="8.85156" style="264" customWidth="1"/>
  </cols>
  <sheetData>
    <row r="1" ht="14.25" customHeight="1">
      <c r="A1" t="s" s="7">
        <v>6</v>
      </c>
      <c r="B1" s="8"/>
      <c r="C1" s="8"/>
      <c r="D1" s="8"/>
      <c r="E1" s="8"/>
      <c r="F1" s="9"/>
      <c r="G1" s="9"/>
      <c r="H1" s="9"/>
      <c r="I1" s="9"/>
      <c r="J1" s="9"/>
      <c r="K1" s="10"/>
      <c r="L1" t="s" s="11">
        <v>7</v>
      </c>
      <c r="M1" s="12"/>
      <c r="N1" s="12"/>
      <c r="O1" s="12"/>
      <c r="P1" s="12"/>
      <c r="Q1" s="12"/>
      <c r="R1" s="10"/>
      <c r="S1" s="13"/>
    </row>
    <row r="2" ht="27" customHeight="1">
      <c r="A2" t="s" s="14">
        <v>8</v>
      </c>
      <c r="B2" s="15"/>
      <c r="C2" s="15"/>
      <c r="D2" s="15"/>
      <c r="E2" s="15"/>
      <c r="F2" s="15"/>
      <c r="G2" s="15"/>
      <c r="H2" s="15"/>
      <c r="I2" s="15"/>
      <c r="J2" s="15"/>
      <c r="K2" s="10"/>
      <c r="L2" s="12"/>
      <c r="M2" s="12"/>
      <c r="N2" s="12"/>
      <c r="O2" s="12"/>
      <c r="P2" s="12"/>
      <c r="Q2" s="12"/>
      <c r="R2" s="10"/>
      <c r="S2" s="13"/>
    </row>
    <row r="3" ht="8" customHeight="1">
      <c r="A3" s="16"/>
      <c r="B3" s="16"/>
      <c r="C3" s="16"/>
      <c r="D3" s="16"/>
      <c r="E3" s="16"/>
      <c r="F3" s="16"/>
      <c r="G3" s="16"/>
      <c r="H3" s="16"/>
      <c r="I3" s="16"/>
      <c r="J3" s="16"/>
      <c r="K3" s="17"/>
      <c r="L3" t="s" s="18">
        <v>9</v>
      </c>
      <c r="M3" s="19"/>
      <c r="N3" s="19"/>
      <c r="O3" s="19"/>
      <c r="P3" s="19"/>
      <c r="Q3" s="10"/>
      <c r="R3" s="10"/>
      <c r="S3" s="13"/>
    </row>
    <row r="4" ht="17.25" customHeight="1">
      <c r="A4" t="s" s="20">
        <v>10</v>
      </c>
      <c r="B4" s="21"/>
      <c r="C4" t="s" s="22">
        <v>11</v>
      </c>
      <c r="D4" s="23"/>
      <c r="E4" s="236"/>
      <c r="F4" t="s" s="22">
        <v>13</v>
      </c>
      <c r="G4" s="25"/>
      <c r="H4" s="25"/>
      <c r="I4" s="25"/>
      <c r="J4" s="26"/>
      <c r="K4" s="27"/>
      <c r="L4" s="19"/>
      <c r="M4" s="19"/>
      <c r="N4" s="19"/>
      <c r="O4" s="19"/>
      <c r="P4" s="19"/>
      <c r="Q4" s="10"/>
      <c r="R4" s="10"/>
      <c r="S4" s="13"/>
    </row>
    <row r="5" ht="15" customHeight="1">
      <c r="A5" t="s" s="28">
        <v>14</v>
      </c>
      <c r="B5" s="29"/>
      <c r="C5" s="30"/>
      <c r="D5" s="30"/>
      <c r="E5" s="29"/>
      <c r="F5" s="30"/>
      <c r="G5" s="30"/>
      <c r="H5" s="30"/>
      <c r="I5" s="30"/>
      <c r="J5" s="31"/>
      <c r="K5" s="27"/>
      <c r="L5" t="s" s="32">
        <v>9</v>
      </c>
      <c r="M5" s="33"/>
      <c r="N5" s="34"/>
      <c r="O5" s="33"/>
      <c r="P5" s="33"/>
      <c r="Q5" s="35"/>
      <c r="R5" s="10"/>
      <c r="S5" s="13"/>
    </row>
    <row r="6" ht="21.75" customHeight="1">
      <c r="A6" t="s" s="36">
        <v>15</v>
      </c>
      <c r="B6" s="237"/>
      <c r="C6" s="38"/>
      <c r="D6" s="38"/>
      <c r="E6" s="39"/>
      <c r="F6" t="s" s="40">
        <v>17</v>
      </c>
      <c r="G6" s="41"/>
      <c r="H6" s="237"/>
      <c r="I6" s="38"/>
      <c r="J6" s="42"/>
      <c r="K6" s="43"/>
      <c r="L6" t="s" s="44">
        <v>19</v>
      </c>
      <c r="M6" s="45"/>
      <c r="N6" t="s" s="46">
        <v>20</v>
      </c>
      <c r="O6" s="47">
        <v>8</v>
      </c>
      <c r="P6" t="s" s="46">
        <v>21</v>
      </c>
      <c r="Q6" s="48">
        <v>6</v>
      </c>
      <c r="R6" s="49"/>
      <c r="S6" s="13"/>
    </row>
    <row r="7" ht="21.75" customHeight="1">
      <c r="A7" t="s" s="50">
        <v>22</v>
      </c>
      <c r="B7" s="51"/>
      <c r="C7" s="51"/>
      <c r="D7" s="51"/>
      <c r="E7" s="51"/>
      <c r="F7" t="s" s="52">
        <v>23</v>
      </c>
      <c r="G7" s="53"/>
      <c r="H7" t="s" s="238">
        <v>9</v>
      </c>
      <c r="I7" s="51"/>
      <c r="J7" s="54"/>
      <c r="K7" s="49"/>
      <c r="L7" s="55"/>
      <c r="M7" s="55"/>
      <c r="N7" s="55"/>
      <c r="O7" s="55"/>
      <c r="P7" s="55"/>
      <c r="Q7" s="56"/>
      <c r="R7" s="10"/>
      <c r="S7" s="13"/>
    </row>
    <row r="8" ht="18" customHeight="1">
      <c r="A8" t="s" s="57">
        <v>24</v>
      </c>
      <c r="B8" t="s" s="58">
        <v>151</v>
      </c>
      <c r="C8" s="59"/>
      <c r="D8" t="s" s="60">
        <v>152</v>
      </c>
      <c r="E8" s="59"/>
      <c r="F8" t="s" s="61">
        <v>27</v>
      </c>
      <c r="G8" t="s" s="62">
        <v>28</v>
      </c>
      <c r="H8" s="63"/>
      <c r="I8" s="63"/>
      <c r="J8" s="64"/>
      <c r="K8" s="49"/>
      <c r="L8" s="34"/>
      <c r="M8" s="34"/>
      <c r="N8" s="34"/>
      <c r="O8" s="34"/>
      <c r="P8" s="34"/>
      <c r="Q8" s="35"/>
      <c r="R8" s="10"/>
      <c r="S8" s="13"/>
    </row>
    <row r="9" ht="12" customHeight="1">
      <c r="A9" s="65"/>
      <c r="B9" t="s" s="66">
        <v>29</v>
      </c>
      <c r="C9" s="67"/>
      <c r="D9" s="67"/>
      <c r="E9" s="67"/>
      <c r="F9" s="68"/>
      <c r="G9" s="68"/>
      <c r="H9" s="68"/>
      <c r="I9" s="68"/>
      <c r="J9" s="69"/>
      <c r="K9" s="43"/>
      <c r="L9" t="s" s="70">
        <v>30</v>
      </c>
      <c r="M9" t="s" s="71">
        <v>31</v>
      </c>
      <c r="N9" t="s" s="71">
        <v>32</v>
      </c>
      <c r="O9" t="s" s="71">
        <v>33</v>
      </c>
      <c r="P9" t="s" s="71">
        <v>34</v>
      </c>
      <c r="Q9" t="s" s="72">
        <v>35</v>
      </c>
      <c r="R9" s="49"/>
      <c r="S9" s="13"/>
    </row>
    <row r="10" ht="30" customHeight="1">
      <c r="A10" s="73"/>
      <c r="B10" s="74"/>
      <c r="C10" s="75"/>
      <c r="D10" s="75"/>
      <c r="E10" s="75"/>
      <c r="F10" s="75"/>
      <c r="G10" s="75"/>
      <c r="H10" s="75"/>
      <c r="I10" s="75"/>
      <c r="J10" s="76"/>
      <c r="K10" t="s" s="77">
        <v>9</v>
      </c>
      <c r="L10" t="s" s="78">
        <v>36</v>
      </c>
      <c r="M10" s="79">
        <v>48</v>
      </c>
      <c r="N10" s="80">
        <v>1</v>
      </c>
      <c r="O10" s="81">
        <v>4.34</v>
      </c>
      <c r="P10" s="82">
        <f>M10*O10</f>
        <v>208.32</v>
      </c>
      <c r="Q10" s="83">
        <f>P10/P15</f>
        <v>0.700602668962548</v>
      </c>
      <c r="R10" s="49"/>
      <c r="S10" s="13"/>
    </row>
    <row r="11" ht="19.5" customHeight="1">
      <c r="A11" t="s" s="57">
        <v>37</v>
      </c>
      <c r="B11" t="s" s="84">
        <v>38</v>
      </c>
      <c r="C11" s="85"/>
      <c r="D11" s="86"/>
      <c r="E11" s="87">
        <f>D24</f>
        <v>112096.427034008</v>
      </c>
      <c r="F11" t="s" s="88">
        <v>39</v>
      </c>
      <c r="G11" s="89">
        <f>E11/8</f>
        <v>14012.053379251</v>
      </c>
      <c r="H11" t="s" s="90">
        <v>40</v>
      </c>
      <c r="I11" s="91"/>
      <c r="J11" s="92"/>
      <c r="K11" s="43"/>
      <c r="L11" t="s" s="78">
        <v>41</v>
      </c>
      <c r="M11" s="79">
        <v>9.6</v>
      </c>
      <c r="N11" s="80">
        <v>1</v>
      </c>
      <c r="O11" s="81">
        <v>4.34</v>
      </c>
      <c r="P11" s="82">
        <f>M11*O11</f>
        <v>41.664</v>
      </c>
      <c r="Q11" s="83">
        <f>P11/P15</f>
        <v>0.14012053379251</v>
      </c>
      <c r="R11" s="49"/>
      <c r="S11" s="13"/>
    </row>
    <row r="12" ht="17.25" customHeight="1">
      <c r="A12" s="65"/>
      <c r="B12" t="s" s="93">
        <v>42</v>
      </c>
      <c r="C12" s="94"/>
      <c r="D12" s="94"/>
      <c r="E12" s="95"/>
      <c r="F12" s="94"/>
      <c r="G12" s="95"/>
      <c r="H12" s="94"/>
      <c r="I12" s="94"/>
      <c r="J12" s="96"/>
      <c r="K12" s="43"/>
      <c r="L12" t="s" s="78">
        <v>43</v>
      </c>
      <c r="M12" s="79">
        <v>12</v>
      </c>
      <c r="N12" s="80">
        <v>1</v>
      </c>
      <c r="O12" s="81">
        <v>1</v>
      </c>
      <c r="P12" s="82">
        <f>M12*N12*O12</f>
        <v>12</v>
      </c>
      <c r="Q12" s="83">
        <f>P12/P15</f>
        <v>0.0403572965992251</v>
      </c>
      <c r="R12" s="98"/>
      <c r="S12" s="99"/>
    </row>
    <row r="13" ht="17.25" customHeight="1">
      <c r="A13" s="65"/>
      <c r="B13" s="100"/>
      <c r="C13" s="94"/>
      <c r="D13" s="94"/>
      <c r="E13" s="94"/>
      <c r="F13" s="94"/>
      <c r="G13" s="94"/>
      <c r="H13" s="94"/>
      <c r="I13" s="94"/>
      <c r="J13" s="96"/>
      <c r="K13" s="43"/>
      <c r="L13" t="s" s="78">
        <v>44</v>
      </c>
      <c r="M13" s="79">
        <v>8</v>
      </c>
      <c r="N13" s="80">
        <v>0.5</v>
      </c>
      <c r="O13" s="81">
        <v>4.34</v>
      </c>
      <c r="P13" s="82">
        <f>M13*N13*O13</f>
        <v>17.36</v>
      </c>
      <c r="Q13" s="101">
        <f>P13/P15</f>
        <v>0.058383555746879</v>
      </c>
      <c r="R13" s="49"/>
      <c r="S13" s="13"/>
    </row>
    <row r="14" ht="17.25" customHeight="1">
      <c r="A14" s="65"/>
      <c r="B14" s="100"/>
      <c r="C14" s="94"/>
      <c r="D14" s="94"/>
      <c r="E14" s="94"/>
      <c r="F14" s="94"/>
      <c r="G14" s="94"/>
      <c r="H14" s="94"/>
      <c r="I14" s="94"/>
      <c r="J14" s="96"/>
      <c r="K14" s="43"/>
      <c r="L14" t="s" s="78">
        <v>45</v>
      </c>
      <c r="M14" s="81">
        <v>0</v>
      </c>
      <c r="N14" s="80"/>
      <c r="O14" s="81">
        <v>0</v>
      </c>
      <c r="P14" s="82">
        <v>18</v>
      </c>
      <c r="Q14" s="101">
        <f>P14/P15</f>
        <v>0.0605359448988377</v>
      </c>
      <c r="R14" s="49"/>
      <c r="S14" s="13"/>
    </row>
    <row r="15" ht="13.5" customHeight="1">
      <c r="A15" s="65"/>
      <c r="B15" t="s" s="102">
        <v>46</v>
      </c>
      <c r="C15" s="68"/>
      <c r="D15" s="68"/>
      <c r="E15" s="68"/>
      <c r="F15" s="68"/>
      <c r="G15" s="68"/>
      <c r="H15" s="68"/>
      <c r="I15" s="68"/>
      <c r="J15" s="69"/>
      <c r="K15" s="43"/>
      <c r="L15" t="s" s="103">
        <v>47</v>
      </c>
      <c r="M15" s="104"/>
      <c r="N15" s="104"/>
      <c r="O15" s="105">
        <v>0</v>
      </c>
      <c r="P15" s="106">
        <f>SUM(P10:P14)</f>
        <v>297.344</v>
      </c>
      <c r="Q15" s="107">
        <f>SUM(Q10:Q14)</f>
        <v>1</v>
      </c>
      <c r="R15" s="49"/>
      <c r="S15" s="13"/>
    </row>
    <row r="16" ht="13.5" customHeight="1">
      <c r="A16" s="65"/>
      <c r="B16" s="108"/>
      <c r="C16" s="68"/>
      <c r="D16" s="68"/>
      <c r="E16" s="68"/>
      <c r="F16" s="68"/>
      <c r="G16" s="68"/>
      <c r="H16" s="68"/>
      <c r="I16" s="68"/>
      <c r="J16" s="69"/>
      <c r="K16" s="49"/>
      <c r="L16" s="56"/>
      <c r="M16" s="56"/>
      <c r="N16" s="56"/>
      <c r="O16" s="56"/>
      <c r="P16" s="56"/>
      <c r="Q16" s="56"/>
      <c r="R16" s="10"/>
      <c r="S16" s="13"/>
    </row>
    <row r="17" ht="21" customHeight="1">
      <c r="A17" s="65"/>
      <c r="B17" t="s" s="102">
        <v>48</v>
      </c>
      <c r="C17" s="68"/>
      <c r="D17" s="68"/>
      <c r="E17" s="68"/>
      <c r="F17" s="68"/>
      <c r="G17" s="109"/>
      <c r="H17" s="109"/>
      <c r="I17" s="109"/>
      <c r="J17" s="110"/>
      <c r="K17" s="49"/>
      <c r="L17" s="111"/>
      <c r="M17" s="112"/>
      <c r="N17" t="s" s="113">
        <v>49</v>
      </c>
      <c r="O17" s="114"/>
      <c r="P17" s="114"/>
      <c r="Q17" s="115">
        <v>9620</v>
      </c>
      <c r="R17" s="10"/>
      <c r="S17" s="13"/>
    </row>
    <row r="18" ht="15.75" customHeight="1">
      <c r="A18" s="65"/>
      <c r="B18" t="s" s="116">
        <v>108</v>
      </c>
      <c r="C18" s="117"/>
      <c r="D18" s="117"/>
      <c r="E18" s="117"/>
      <c r="F18" s="118"/>
      <c r="G18" s="119">
        <v>160000</v>
      </c>
      <c r="H18" t="s" s="120">
        <v>51</v>
      </c>
      <c r="I18" s="121"/>
      <c r="J18" s="122"/>
      <c r="K18" s="49"/>
      <c r="L18" s="111"/>
      <c r="M18" s="112"/>
      <c r="N18" s="10"/>
      <c r="O18" s="10"/>
      <c r="P18" s="123"/>
      <c r="Q18" s="10"/>
      <c r="R18" s="10"/>
      <c r="S18" s="13"/>
    </row>
    <row r="19" ht="15.75" customHeight="1">
      <c r="A19" s="65"/>
      <c r="B19" t="s" s="124">
        <v>121</v>
      </c>
      <c r="C19" s="125"/>
      <c r="D19" s="125"/>
      <c r="E19" s="125"/>
      <c r="F19" s="125"/>
      <c r="G19" s="126"/>
      <c r="H19" s="126"/>
      <c r="I19" s="126"/>
      <c r="J19" s="127"/>
      <c r="K19" s="49"/>
      <c r="L19" t="s" s="128">
        <v>53</v>
      </c>
      <c r="M19" s="129"/>
      <c r="N19" s="129"/>
      <c r="O19" s="129"/>
      <c r="P19" s="129"/>
      <c r="Q19" s="130"/>
      <c r="R19" s="10"/>
      <c r="S19" s="13"/>
    </row>
    <row r="20" ht="15.75" customHeight="1">
      <c r="A20" s="65"/>
      <c r="B20" t="s" s="124">
        <v>54</v>
      </c>
      <c r="C20" s="125"/>
      <c r="D20" s="125"/>
      <c r="E20" s="125"/>
      <c r="F20" s="125"/>
      <c r="G20" s="125"/>
      <c r="H20" s="125"/>
      <c r="I20" s="125"/>
      <c r="J20" s="131"/>
      <c r="K20" s="49"/>
      <c r="L20" t="s" s="128">
        <v>55</v>
      </c>
      <c r="M20" s="129"/>
      <c r="N20" s="129"/>
      <c r="O20" s="129"/>
      <c r="P20" s="129"/>
      <c r="Q20" s="130"/>
      <c r="R20" s="10"/>
      <c r="S20" s="13"/>
    </row>
    <row r="21" ht="15.75" customHeight="1">
      <c r="A21" s="73"/>
      <c r="B21" t="s" s="132">
        <v>122</v>
      </c>
      <c r="C21" s="133"/>
      <c r="D21" s="133"/>
      <c r="E21" s="133"/>
      <c r="F21" s="133"/>
      <c r="G21" s="133"/>
      <c r="H21" s="133"/>
      <c r="I21" s="133"/>
      <c r="J21" s="134"/>
      <c r="K21" s="49"/>
      <c r="L21" t="s" s="128">
        <v>57</v>
      </c>
      <c r="M21" s="129"/>
      <c r="N21" s="129"/>
      <c r="O21" s="129"/>
      <c r="P21" s="129"/>
      <c r="Q21" s="130"/>
      <c r="R21" s="10"/>
      <c r="S21" s="13"/>
    </row>
    <row r="22" ht="18.75" customHeight="1">
      <c r="A22" t="s" s="135">
        <v>58</v>
      </c>
      <c r="B22" t="s" s="136">
        <v>59</v>
      </c>
      <c r="C22" s="137"/>
      <c r="D22" t="s" s="138">
        <v>36</v>
      </c>
      <c r="E22" t="s" s="138">
        <v>60</v>
      </c>
      <c r="F22" t="s" s="138">
        <v>43</v>
      </c>
      <c r="G22" t="s" s="139">
        <v>61</v>
      </c>
      <c r="H22" s="140"/>
      <c r="I22" t="s" s="139">
        <v>45</v>
      </c>
      <c r="J22" s="141"/>
      <c r="K22" s="49"/>
      <c r="L22" t="s" s="128">
        <v>62</v>
      </c>
      <c r="M22" s="129"/>
      <c r="N22" s="129"/>
      <c r="O22" s="129"/>
      <c r="P22" s="129"/>
      <c r="Q22" s="130"/>
      <c r="R22" s="129"/>
      <c r="S22" s="142"/>
    </row>
    <row r="23" ht="18.75" customHeight="1">
      <c r="A23" s="143"/>
      <c r="B23" t="s" s="144">
        <v>63</v>
      </c>
      <c r="C23" s="145"/>
      <c r="D23" s="146">
        <f>Q10</f>
        <v>0.700602668962548</v>
      </c>
      <c r="E23" s="146">
        <f>Q11</f>
        <v>0.14012053379251</v>
      </c>
      <c r="F23" s="146">
        <f>Q12</f>
        <v>0.0403572965992251</v>
      </c>
      <c r="G23" s="147">
        <f>Q13</f>
        <v>0.058383555746879</v>
      </c>
      <c r="H23" s="148"/>
      <c r="I23" s="147">
        <f>Q14</f>
        <v>0.0605359448988377</v>
      </c>
      <c r="J23" s="149"/>
      <c r="K23" s="49"/>
      <c r="L23" s="129"/>
      <c r="M23" s="129"/>
      <c r="N23" s="129"/>
      <c r="O23" s="129"/>
      <c r="P23" s="129"/>
      <c r="Q23" s="129"/>
      <c r="R23" s="129"/>
      <c r="S23" s="142"/>
    </row>
    <row r="24" ht="18.75" customHeight="1">
      <c r="A24" s="150"/>
      <c r="B24" t="s" s="151">
        <v>64</v>
      </c>
      <c r="C24" s="152">
        <f>G11</f>
        <v>14012.053379251</v>
      </c>
      <c r="D24" s="153">
        <f>G18*$D$23</f>
        <v>112096.427034008</v>
      </c>
      <c r="E24" s="153">
        <f>G18*$E$23</f>
        <v>22419.2854068016</v>
      </c>
      <c r="F24" s="153">
        <f>G18*$F$23</f>
        <v>6457.167455876020</v>
      </c>
      <c r="G24" s="154">
        <f>G18*$G$23</f>
        <v>9341.368919500639</v>
      </c>
      <c r="H24" s="155"/>
      <c r="I24" s="156">
        <f>G18*$I$23</f>
        <v>9685.751183814031</v>
      </c>
      <c r="J24" s="157"/>
      <c r="K24" s="49"/>
      <c r="L24" s="129"/>
      <c r="M24" s="129"/>
      <c r="N24" s="129"/>
      <c r="O24" s="129"/>
      <c r="P24" s="129"/>
      <c r="Q24" s="129"/>
      <c r="R24" s="129"/>
      <c r="S24" s="142"/>
    </row>
    <row r="25" ht="54.75" customHeight="1">
      <c r="A25" t="s" s="135">
        <v>65</v>
      </c>
      <c r="B25" t="s" s="158">
        <v>123</v>
      </c>
      <c r="C25" s="159"/>
      <c r="D25" s="159"/>
      <c r="E25" s="159"/>
      <c r="F25" s="159"/>
      <c r="G25" s="159"/>
      <c r="H25" s="159"/>
      <c r="I25" s="159"/>
      <c r="J25" s="160"/>
      <c r="K25" s="49"/>
      <c r="L25" t="s" s="128">
        <v>9</v>
      </c>
      <c r="M25" s="129"/>
      <c r="N25" s="129"/>
      <c r="O25" s="129"/>
      <c r="P25" s="129"/>
      <c r="Q25" s="130"/>
      <c r="R25" s="10"/>
      <c r="S25" s="142"/>
    </row>
    <row r="26" ht="66.75" customHeight="1">
      <c r="A26" s="73"/>
      <c r="B26" s="74"/>
      <c r="C26" s="75"/>
      <c r="D26" s="75"/>
      <c r="E26" s="75"/>
      <c r="F26" s="75"/>
      <c r="G26" s="75"/>
      <c r="H26" s="75"/>
      <c r="I26" s="75"/>
      <c r="J26" s="76"/>
      <c r="K26" s="49"/>
      <c r="L26" t="s" s="128">
        <v>9</v>
      </c>
      <c r="M26" s="129"/>
      <c r="N26" s="129"/>
      <c r="O26" s="129"/>
      <c r="P26" s="129"/>
      <c r="Q26" s="130"/>
      <c r="R26" s="10"/>
      <c r="S26" s="142"/>
    </row>
    <row r="27" ht="27.75" customHeight="1">
      <c r="A27" t="s" s="57">
        <v>67</v>
      </c>
      <c r="B27" t="s" s="158">
        <v>68</v>
      </c>
      <c r="C27" s="159"/>
      <c r="D27" s="159"/>
      <c r="E27" s="159"/>
      <c r="F27" s="159"/>
      <c r="G27" s="159"/>
      <c r="H27" s="159"/>
      <c r="I27" s="159"/>
      <c r="J27" s="160"/>
      <c r="K27" s="49"/>
      <c r="L27" s="161">
        <f>C24*8</f>
        <v>112096.427034008</v>
      </c>
      <c r="M27" s="162">
        <f>E24*5</f>
        <v>112096.427034008</v>
      </c>
      <c r="N27" s="129"/>
      <c r="O27" s="162"/>
      <c r="P27" s="163"/>
      <c r="Q27" s="162"/>
      <c r="R27" s="164"/>
      <c r="S27" s="165"/>
    </row>
    <row r="28" ht="27.75" customHeight="1">
      <c r="A28" s="73"/>
      <c r="B28" s="74"/>
      <c r="C28" s="75"/>
      <c r="D28" s="75"/>
      <c r="E28" s="75"/>
      <c r="F28" s="75"/>
      <c r="G28" s="75"/>
      <c r="H28" s="75"/>
      <c r="I28" s="75"/>
      <c r="J28" s="76"/>
      <c r="K28" s="49"/>
      <c r="L28" s="161"/>
      <c r="M28" s="163"/>
      <c r="N28" s="10"/>
      <c r="O28" s="10"/>
      <c r="P28" s="10"/>
      <c r="Q28" s="10"/>
      <c r="R28" s="164"/>
      <c r="S28" s="165"/>
    </row>
    <row r="29" ht="40.5" customHeight="1">
      <c r="A29" t="s" s="166">
        <v>69</v>
      </c>
      <c r="B29" t="s" s="167">
        <v>70</v>
      </c>
      <c r="C29" s="168"/>
      <c r="D29" s="168"/>
      <c r="E29" s="168"/>
      <c r="F29" s="168"/>
      <c r="G29" s="168"/>
      <c r="H29" s="168"/>
      <c r="I29" s="168"/>
      <c r="J29" s="169"/>
      <c r="K29" s="49"/>
      <c r="L29" t="s" s="170">
        <v>71</v>
      </c>
      <c r="M29" s="171"/>
      <c r="N29" s="171"/>
      <c r="O29" s="171"/>
      <c r="P29" s="171"/>
      <c r="Q29" s="171"/>
      <c r="R29" s="164"/>
      <c r="S29" s="165"/>
    </row>
    <row r="30" ht="23.25" customHeight="1">
      <c r="A30" t="s" s="135">
        <v>72</v>
      </c>
      <c r="B30" t="s" s="158">
        <v>73</v>
      </c>
      <c r="C30" s="159"/>
      <c r="D30" s="159"/>
      <c r="E30" s="159"/>
      <c r="F30" s="159"/>
      <c r="G30" s="159"/>
      <c r="H30" s="159"/>
      <c r="I30" s="159"/>
      <c r="J30" s="160"/>
      <c r="K30" s="49"/>
      <c r="L30" s="171"/>
      <c r="M30" s="171"/>
      <c r="N30" s="171"/>
      <c r="O30" s="171"/>
      <c r="P30" s="171"/>
      <c r="Q30" s="171"/>
      <c r="R30" s="164"/>
      <c r="S30" s="164"/>
    </row>
    <row r="31" ht="23.25" customHeight="1">
      <c r="A31" s="143"/>
      <c r="B31" s="108"/>
      <c r="C31" s="68"/>
      <c r="D31" s="68"/>
      <c r="E31" s="68"/>
      <c r="F31" s="68"/>
      <c r="G31" s="68"/>
      <c r="H31" s="68"/>
      <c r="I31" s="68"/>
      <c r="J31" s="69"/>
      <c r="K31" s="49"/>
      <c r="L31" s="171"/>
      <c r="M31" s="171"/>
      <c r="N31" s="171"/>
      <c r="O31" s="171"/>
      <c r="P31" s="171"/>
      <c r="Q31" s="171"/>
      <c r="R31" s="10"/>
      <c r="S31" s="142"/>
    </row>
    <row r="32" ht="23.25" customHeight="1">
      <c r="A32" s="143"/>
      <c r="B32" s="108"/>
      <c r="C32" s="68"/>
      <c r="D32" s="68"/>
      <c r="E32" s="68"/>
      <c r="F32" s="68"/>
      <c r="G32" s="68"/>
      <c r="H32" s="68"/>
      <c r="I32" s="68"/>
      <c r="J32" s="69"/>
      <c r="K32" s="49"/>
      <c r="L32" s="171"/>
      <c r="M32" s="171"/>
      <c r="N32" s="171"/>
      <c r="O32" s="171"/>
      <c r="P32" s="171"/>
      <c r="Q32" s="171"/>
      <c r="R32" s="10"/>
      <c r="S32" s="142"/>
    </row>
    <row r="33" ht="23.25" customHeight="1">
      <c r="A33" s="143"/>
      <c r="B33" s="108"/>
      <c r="C33" s="68"/>
      <c r="D33" s="68"/>
      <c r="E33" s="68"/>
      <c r="F33" s="68"/>
      <c r="G33" s="68"/>
      <c r="H33" s="68"/>
      <c r="I33" s="68"/>
      <c r="J33" s="69"/>
      <c r="K33" s="49"/>
      <c r="L33" s="172"/>
      <c r="M33" s="172"/>
      <c r="N33" s="172"/>
      <c r="O33" s="172"/>
      <c r="P33" s="172"/>
      <c r="Q33" s="10"/>
      <c r="R33" s="10"/>
      <c r="S33" s="142"/>
    </row>
    <row r="34" ht="23.25" customHeight="1">
      <c r="A34" s="143"/>
      <c r="B34" s="108"/>
      <c r="C34" s="68"/>
      <c r="D34" s="68"/>
      <c r="E34" s="68"/>
      <c r="F34" s="68"/>
      <c r="G34" s="68"/>
      <c r="H34" s="68"/>
      <c r="I34" s="68"/>
      <c r="J34" s="69"/>
      <c r="K34" s="173"/>
      <c r="L34" s="174"/>
      <c r="M34" s="174"/>
      <c r="N34" s="174"/>
      <c r="O34" s="174"/>
      <c r="P34" s="174"/>
      <c r="Q34" s="175"/>
      <c r="R34" s="10"/>
      <c r="S34" s="142"/>
    </row>
    <row r="35" ht="28.5" customHeight="1">
      <c r="A35" s="150"/>
      <c r="B35" s="74"/>
      <c r="C35" s="75"/>
      <c r="D35" s="75"/>
      <c r="E35" s="75"/>
      <c r="F35" s="75"/>
      <c r="G35" s="75"/>
      <c r="H35" s="75"/>
      <c r="I35" s="75"/>
      <c r="J35" s="76"/>
      <c r="K35" s="173"/>
      <c r="L35" s="176"/>
      <c r="M35" s="176"/>
      <c r="N35" s="176"/>
      <c r="O35" s="176"/>
      <c r="P35" s="176"/>
      <c r="Q35" s="177"/>
      <c r="R35" s="178"/>
      <c r="S35" s="142"/>
    </row>
    <row r="36" ht="21" customHeight="1">
      <c r="A36" t="s" s="135">
        <v>74</v>
      </c>
      <c r="B36" t="s" s="158">
        <v>124</v>
      </c>
      <c r="C36" s="159"/>
      <c r="D36" s="159"/>
      <c r="E36" s="159"/>
      <c r="F36" s="159"/>
      <c r="G36" s="159"/>
      <c r="H36" s="159"/>
      <c r="I36" s="159"/>
      <c r="J36" s="160"/>
      <c r="K36" s="173"/>
      <c r="L36" s="179"/>
      <c r="M36" s="179"/>
      <c r="N36" s="179"/>
      <c r="O36" s="179"/>
      <c r="P36" s="179"/>
      <c r="Q36" s="180"/>
      <c r="R36" s="181"/>
      <c r="S36" s="182"/>
    </row>
    <row r="37" ht="19.5" customHeight="1">
      <c r="A37" s="143"/>
      <c r="B37" s="108"/>
      <c r="C37" s="68"/>
      <c r="D37" s="68"/>
      <c r="E37" s="68"/>
      <c r="F37" s="68"/>
      <c r="G37" s="68"/>
      <c r="H37" s="68"/>
      <c r="I37" s="68"/>
      <c r="J37" s="69"/>
      <c r="K37" s="173"/>
      <c r="L37" s="183"/>
      <c r="M37" s="183"/>
      <c r="N37" s="183"/>
      <c r="O37" s="183"/>
      <c r="P37" s="183"/>
      <c r="Q37" s="184"/>
      <c r="R37" s="185"/>
      <c r="S37" s="182"/>
    </row>
    <row r="38" ht="19.5" customHeight="1">
      <c r="A38" s="143"/>
      <c r="B38" s="108"/>
      <c r="C38" s="68"/>
      <c r="D38" s="68"/>
      <c r="E38" s="68"/>
      <c r="F38" s="68"/>
      <c r="G38" s="68"/>
      <c r="H38" s="68"/>
      <c r="I38" s="68"/>
      <c r="J38" s="69"/>
      <c r="K38" s="173"/>
      <c r="L38" s="186"/>
      <c r="M38" s="186"/>
      <c r="N38" s="186"/>
      <c r="O38" s="186"/>
      <c r="P38" s="186"/>
      <c r="Q38" s="187"/>
      <c r="R38" s="188"/>
      <c r="S38" s="182"/>
    </row>
    <row r="39" ht="19.5" customHeight="1">
      <c r="A39" s="143"/>
      <c r="B39" s="108"/>
      <c r="C39" s="68"/>
      <c r="D39" s="68"/>
      <c r="E39" s="68"/>
      <c r="F39" s="68"/>
      <c r="G39" s="68"/>
      <c r="H39" s="68"/>
      <c r="I39" s="68"/>
      <c r="J39" s="69"/>
      <c r="K39" s="173"/>
      <c r="L39" s="186"/>
      <c r="M39" s="186"/>
      <c r="N39" s="186"/>
      <c r="O39" s="186"/>
      <c r="P39" s="186"/>
      <c r="Q39" s="187"/>
      <c r="R39" s="188"/>
      <c r="S39" s="182"/>
    </row>
    <row r="40" ht="19.5" customHeight="1">
      <c r="A40" s="150"/>
      <c r="B40" s="74"/>
      <c r="C40" s="75"/>
      <c r="D40" s="75"/>
      <c r="E40" s="75"/>
      <c r="F40" s="75"/>
      <c r="G40" s="75"/>
      <c r="H40" s="75"/>
      <c r="I40" s="75"/>
      <c r="J40" s="76"/>
      <c r="K40" s="173"/>
      <c r="L40" s="186"/>
      <c r="M40" s="186"/>
      <c r="N40" s="186"/>
      <c r="O40" s="186"/>
      <c r="P40" s="186"/>
      <c r="Q40" s="187"/>
      <c r="R40" s="188"/>
      <c r="S40" s="182"/>
    </row>
    <row r="41" ht="17.1" customHeight="1">
      <c r="A41" t="s" s="135">
        <v>76</v>
      </c>
      <c r="B41" t="s" s="167">
        <v>77</v>
      </c>
      <c r="C41" s="168"/>
      <c r="D41" s="168"/>
      <c r="E41" s="168"/>
      <c r="F41" s="168"/>
      <c r="G41" s="168"/>
      <c r="H41" s="168"/>
      <c r="I41" s="168"/>
      <c r="J41" s="169"/>
      <c r="K41" s="173"/>
      <c r="L41" s="186"/>
      <c r="M41" s="186"/>
      <c r="N41" s="186"/>
      <c r="O41" s="186"/>
      <c r="P41" s="186"/>
      <c r="Q41" s="187"/>
      <c r="R41" s="188"/>
      <c r="S41" s="182"/>
    </row>
    <row r="42" ht="19.5" customHeight="1">
      <c r="A42" s="143"/>
      <c r="B42" t="s" s="189">
        <v>78</v>
      </c>
      <c r="C42" s="190"/>
      <c r="D42" t="s" s="189">
        <v>79</v>
      </c>
      <c r="E42" s="190"/>
      <c r="F42" t="s" s="189">
        <v>80</v>
      </c>
      <c r="G42" s="190"/>
      <c r="H42" t="s" s="189">
        <v>81</v>
      </c>
      <c r="I42" s="190"/>
      <c r="J42" t="s" s="191">
        <v>82</v>
      </c>
      <c r="K42" s="192"/>
      <c r="L42" s="186"/>
      <c r="M42" s="186"/>
      <c r="N42" s="186"/>
      <c r="O42" s="186"/>
      <c r="P42" s="186"/>
      <c r="Q42" s="187"/>
      <c r="R42" s="188"/>
      <c r="S42" s="182"/>
    </row>
    <row r="43" ht="19.5" customHeight="1">
      <c r="A43" s="143"/>
      <c r="B43" t="s" s="193">
        <v>83</v>
      </c>
      <c r="C43" s="194"/>
      <c r="D43" t="s" s="193">
        <v>83</v>
      </c>
      <c r="E43" s="194"/>
      <c r="F43" t="s" s="193">
        <v>83</v>
      </c>
      <c r="G43" s="194"/>
      <c r="H43" t="s" s="193">
        <v>83</v>
      </c>
      <c r="I43" s="194"/>
      <c r="J43" t="s" s="195">
        <v>83</v>
      </c>
      <c r="K43" s="192"/>
      <c r="L43" s="186"/>
      <c r="M43" s="186"/>
      <c r="N43" s="186"/>
      <c r="O43" s="186"/>
      <c r="P43" s="186"/>
      <c r="Q43" s="187"/>
      <c r="R43" s="188"/>
      <c r="S43" s="182"/>
    </row>
    <row r="44" ht="19.5" customHeight="1">
      <c r="A44" s="150"/>
      <c r="B44" t="s" s="167">
        <v>125</v>
      </c>
      <c r="C44" s="168"/>
      <c r="D44" s="168"/>
      <c r="E44" s="168"/>
      <c r="F44" s="168"/>
      <c r="G44" s="168"/>
      <c r="H44" s="168"/>
      <c r="I44" s="168"/>
      <c r="J44" s="169"/>
      <c r="K44" s="173"/>
      <c r="L44" s="186"/>
      <c r="M44" s="186"/>
      <c r="N44" s="186"/>
      <c r="O44" s="186"/>
      <c r="P44" s="186"/>
      <c r="Q44" s="187"/>
      <c r="R44" s="188"/>
      <c r="S44" s="182"/>
    </row>
    <row r="45" ht="21" customHeight="1">
      <c r="A45" t="s" s="196">
        <v>85</v>
      </c>
      <c r="B45" t="s" s="197">
        <v>126</v>
      </c>
      <c r="C45" s="198"/>
      <c r="D45" s="198"/>
      <c r="E45" s="198"/>
      <c r="F45" s="198"/>
      <c r="G45" s="198"/>
      <c r="H45" s="198"/>
      <c r="I45" s="198"/>
      <c r="J45" s="199"/>
      <c r="K45" s="49"/>
      <c r="L45" s="200"/>
      <c r="M45" s="200"/>
      <c r="N45" s="200"/>
      <c r="O45" s="200"/>
      <c r="P45" s="200"/>
      <c r="Q45" s="10"/>
      <c r="R45" s="200"/>
      <c r="S45" s="142"/>
    </row>
    <row r="46" ht="19.5" customHeight="1">
      <c r="A46" t="s" s="201">
        <v>153</v>
      </c>
      <c r="B46" s="202"/>
      <c r="C46" s="202"/>
      <c r="D46" s="202"/>
      <c r="E46" s="202"/>
      <c r="F46" s="202"/>
      <c r="G46" s="202"/>
      <c r="H46" s="202"/>
      <c r="I46" s="202"/>
      <c r="J46" s="203"/>
      <c r="K46" s="49"/>
      <c r="L46" s="10"/>
      <c r="M46" s="10"/>
      <c r="N46" s="10"/>
      <c r="O46" s="10"/>
      <c r="P46" s="10"/>
      <c r="Q46" s="10"/>
      <c r="R46" s="10"/>
      <c r="S46" s="13"/>
    </row>
    <row r="47" ht="23.25" customHeight="1">
      <c r="A47" t="s" s="204">
        <v>88</v>
      </c>
      <c r="B47" s="205"/>
      <c r="C47" s="205"/>
      <c r="D47" s="205"/>
      <c r="E47" s="205"/>
      <c r="F47" t="s" s="206">
        <v>89</v>
      </c>
      <c r="G47" s="205"/>
      <c r="H47" s="205"/>
      <c r="I47" s="205"/>
      <c r="J47" s="207"/>
      <c r="K47" s="49"/>
      <c r="L47" s="10"/>
      <c r="M47" s="10"/>
      <c r="N47" s="10"/>
      <c r="O47" s="10"/>
      <c r="P47" s="10"/>
      <c r="Q47" s="10"/>
      <c r="R47" s="10"/>
      <c r="S47" s="161"/>
    </row>
    <row r="48" ht="23.25" customHeight="1">
      <c r="A48" t="s" s="208">
        <v>90</v>
      </c>
      <c r="B48" s="209"/>
      <c r="C48" t="s" s="210">
        <f>A4</f>
        <v>91</v>
      </c>
      <c r="D48" s="209"/>
      <c r="E48" s="209"/>
      <c r="F48" t="s" s="211">
        <v>92</v>
      </c>
      <c r="G48" t="s" s="211">
        <v>154</v>
      </c>
      <c r="H48" s="260"/>
      <c r="I48" s="260"/>
      <c r="J48" s="261"/>
      <c r="K48" s="49"/>
      <c r="L48" s="10"/>
      <c r="M48" s="10"/>
      <c r="N48" s="10"/>
      <c r="O48" s="10"/>
      <c r="P48" s="10"/>
      <c r="Q48" s="10"/>
      <c r="R48" s="10"/>
      <c r="S48" s="13"/>
    </row>
    <row r="49" ht="23.25" customHeight="1">
      <c r="A49" t="s" s="215">
        <v>94</v>
      </c>
      <c r="B49" s="216"/>
      <c r="C49" t="s" s="217">
        <v>95</v>
      </c>
      <c r="D49" s="216"/>
      <c r="E49" s="216"/>
      <c r="F49" t="s" s="246">
        <v>96</v>
      </c>
      <c r="G49" s="216"/>
      <c r="H49" s="216"/>
      <c r="I49" s="216"/>
      <c r="J49" s="247"/>
      <c r="K49" s="49"/>
      <c r="L49" s="10"/>
      <c r="M49" s="10"/>
      <c r="N49" s="10"/>
      <c r="O49" s="10"/>
      <c r="P49" s="10"/>
      <c r="Q49" s="10"/>
      <c r="R49" s="10"/>
      <c r="S49" s="13"/>
    </row>
    <row r="50" ht="23.25" customHeight="1">
      <c r="A50" t="s" s="215">
        <v>98</v>
      </c>
      <c r="B50" s="216"/>
      <c r="C50" s="216"/>
      <c r="D50" s="216"/>
      <c r="E50" s="216"/>
      <c r="F50" t="s" s="217">
        <v>99</v>
      </c>
      <c r="G50" s="216"/>
      <c r="H50" s="216"/>
      <c r="I50" s="216"/>
      <c r="J50" s="247"/>
      <c r="K50" s="49"/>
      <c r="L50" s="10"/>
      <c r="M50" s="10"/>
      <c r="N50" s="10"/>
      <c r="O50" s="10"/>
      <c r="P50" s="10"/>
      <c r="Q50" s="10"/>
      <c r="R50" s="10"/>
      <c r="S50" s="13"/>
    </row>
    <row r="51" ht="23.25" customHeight="1">
      <c r="A51" t="s" s="226">
        <v>101</v>
      </c>
      <c r="B51" s="227"/>
      <c r="C51" t="s" s="248">
        <v>155</v>
      </c>
      <c r="D51" s="249"/>
      <c r="E51" s="249"/>
      <c r="F51" t="s" s="250">
        <v>103</v>
      </c>
      <c r="G51" s="227"/>
      <c r="H51" s="227"/>
      <c r="I51" s="227"/>
      <c r="J51" s="251"/>
      <c r="K51" s="49"/>
      <c r="L51" s="10"/>
      <c r="M51" s="10"/>
      <c r="N51" s="10"/>
      <c r="O51" s="10"/>
      <c r="P51" s="10"/>
      <c r="Q51" s="10"/>
      <c r="R51" s="10"/>
      <c r="S51" s="1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conditionalFormatting sqref="M5:M6 O5:P5 E11 G11 H18:J18 C24:H24 P27 M28 L36:P44">
    <cfRule type="cellIs" dxfId="7" priority="1" operator="lessThan" stopIfTrue="1">
      <formula>0</formula>
    </cfRule>
  </conditionalFormatting>
  <pageMargins left="0.7" right="0.7" top="0.75" bottom="0.75" header="0.3" footer="0.3"/>
  <pageSetup firstPageNumber="1" fitToHeight="1" fitToWidth="1" scale="65" useFirstPageNumber="0" orientation="portrait" pageOrder="downThenOver"/>
  <headerFooter>
    <oddFooter>&amp;C&amp;"Helvetica Neue,Regular"&amp;12&amp;K000000&amp;P</oddFooter>
  </headerFooter>
  <drawing r:id="rId1"/>
  <legacyDrawing r:id="rId2"/>
</worksheet>
</file>

<file path=xl/worksheets/sheet10.xml><?xml version="1.0" encoding="utf-8"?>
<worksheet xmlns:r="http://schemas.openxmlformats.org/officeDocument/2006/relationships" xmlns="http://schemas.openxmlformats.org/spreadsheetml/2006/main">
  <dimension ref="A1:S51"/>
  <sheetViews>
    <sheetView workbookViewId="0" showGridLines="0" defaultGridColor="1"/>
  </sheetViews>
  <sheetFormatPr defaultColWidth="8.83333" defaultRowHeight="16.5" customHeight="1" outlineLevelRow="0" outlineLevelCol="0"/>
  <cols>
    <col min="1" max="1" width="10.3516" style="265" customWidth="1"/>
    <col min="2" max="2" width="12.5" style="265" customWidth="1"/>
    <col min="3" max="3" width="12.3516" style="265" customWidth="1"/>
    <col min="4" max="4" width="11.8516" style="265" customWidth="1"/>
    <col min="5" max="5" width="12.3516" style="265" customWidth="1"/>
    <col min="6" max="6" width="11" style="265" customWidth="1"/>
    <col min="7" max="7" width="15.6719" style="265" customWidth="1"/>
    <col min="8" max="8" width="9" style="265" customWidth="1"/>
    <col min="9" max="9" width="12.3516" style="265" customWidth="1"/>
    <col min="10" max="10" width="11.8516" style="265" customWidth="1"/>
    <col min="11" max="11" width="5.5" style="265" customWidth="1"/>
    <col min="12" max="16" width="11.6719" style="265" customWidth="1"/>
    <col min="17" max="17" width="14.3516" style="265" customWidth="1"/>
    <col min="18" max="18" width="10" style="265" customWidth="1"/>
    <col min="19" max="19" width="13" style="265" customWidth="1"/>
    <col min="20" max="16384" width="8.85156" style="265" customWidth="1"/>
  </cols>
  <sheetData>
    <row r="1" ht="14.25" customHeight="1">
      <c r="A1" t="s" s="7">
        <v>6</v>
      </c>
      <c r="B1" s="8"/>
      <c r="C1" s="8"/>
      <c r="D1" s="8"/>
      <c r="E1" s="8"/>
      <c r="F1" s="9"/>
      <c r="G1" s="9"/>
      <c r="H1" s="9"/>
      <c r="I1" s="9"/>
      <c r="J1" s="9"/>
      <c r="K1" s="10"/>
      <c r="L1" t="s" s="11">
        <v>7</v>
      </c>
      <c r="M1" s="12"/>
      <c r="N1" s="12"/>
      <c r="O1" s="12"/>
      <c r="P1" s="12"/>
      <c r="Q1" s="12"/>
      <c r="R1" s="10"/>
      <c r="S1" s="13"/>
    </row>
    <row r="2" ht="27" customHeight="1">
      <c r="A2" t="s" s="14">
        <v>8</v>
      </c>
      <c r="B2" s="15"/>
      <c r="C2" s="15"/>
      <c r="D2" s="15"/>
      <c r="E2" s="15"/>
      <c r="F2" s="15"/>
      <c r="G2" s="15"/>
      <c r="H2" s="15"/>
      <c r="I2" s="15"/>
      <c r="J2" s="15"/>
      <c r="K2" s="10"/>
      <c r="L2" s="12"/>
      <c r="M2" s="12"/>
      <c r="N2" s="12"/>
      <c r="O2" s="12"/>
      <c r="P2" s="12"/>
      <c r="Q2" s="12"/>
      <c r="R2" s="10"/>
      <c r="S2" s="13"/>
    </row>
    <row r="3" ht="8" customHeight="1">
      <c r="A3" s="16"/>
      <c r="B3" s="16"/>
      <c r="C3" s="16"/>
      <c r="D3" s="16"/>
      <c r="E3" s="16"/>
      <c r="F3" s="16"/>
      <c r="G3" s="16"/>
      <c r="H3" s="16"/>
      <c r="I3" s="16"/>
      <c r="J3" s="16"/>
      <c r="K3" s="17"/>
      <c r="L3" t="s" s="18">
        <v>9</v>
      </c>
      <c r="M3" s="19"/>
      <c r="N3" s="19"/>
      <c r="O3" s="19"/>
      <c r="P3" s="19"/>
      <c r="Q3" s="10"/>
      <c r="R3" s="10"/>
      <c r="S3" s="13"/>
    </row>
    <row r="4" ht="17.25" customHeight="1">
      <c r="A4" t="s" s="20">
        <v>10</v>
      </c>
      <c r="B4" s="21"/>
      <c r="C4" t="s" s="22">
        <v>11</v>
      </c>
      <c r="D4" s="23"/>
      <c r="E4" t="s" s="253">
        <v>118</v>
      </c>
      <c r="F4" t="s" s="22">
        <v>13</v>
      </c>
      <c r="G4" s="25"/>
      <c r="H4" s="25"/>
      <c r="I4" s="25"/>
      <c r="J4" s="26"/>
      <c r="K4" s="27"/>
      <c r="L4" s="19"/>
      <c r="M4" s="19"/>
      <c r="N4" s="19"/>
      <c r="O4" s="19"/>
      <c r="P4" s="19"/>
      <c r="Q4" s="10"/>
      <c r="R4" s="10"/>
      <c r="S4" s="13"/>
    </row>
    <row r="5" ht="15" customHeight="1">
      <c r="A5" t="s" s="28">
        <v>14</v>
      </c>
      <c r="B5" s="29"/>
      <c r="C5" s="30"/>
      <c r="D5" s="30"/>
      <c r="E5" s="29"/>
      <c r="F5" s="30"/>
      <c r="G5" s="30"/>
      <c r="H5" s="30"/>
      <c r="I5" s="30"/>
      <c r="J5" s="31"/>
      <c r="K5" s="27"/>
      <c r="L5" t="s" s="32">
        <v>9</v>
      </c>
      <c r="M5" s="33"/>
      <c r="N5" s="34"/>
      <c r="O5" s="33"/>
      <c r="P5" s="33"/>
      <c r="Q5" s="35"/>
      <c r="R5" s="10"/>
      <c r="S5" s="13"/>
    </row>
    <row r="6" ht="21.75" customHeight="1">
      <c r="A6" t="s" s="36">
        <v>15</v>
      </c>
      <c r="B6" s="237"/>
      <c r="C6" s="38"/>
      <c r="D6" s="38"/>
      <c r="E6" s="39"/>
      <c r="F6" t="s" s="40">
        <v>17</v>
      </c>
      <c r="G6" s="41"/>
      <c r="H6" s="237"/>
      <c r="I6" s="38"/>
      <c r="J6" s="42"/>
      <c r="K6" s="43"/>
      <c r="L6" t="s" s="44">
        <v>19</v>
      </c>
      <c r="M6" s="45"/>
      <c r="N6" t="s" s="46">
        <v>20</v>
      </c>
      <c r="O6" s="47">
        <v>8</v>
      </c>
      <c r="P6" t="s" s="46">
        <v>21</v>
      </c>
      <c r="Q6" s="48">
        <v>6</v>
      </c>
      <c r="R6" s="49"/>
      <c r="S6" s="13"/>
    </row>
    <row r="7" ht="21.75" customHeight="1">
      <c r="A7" t="s" s="50">
        <v>22</v>
      </c>
      <c r="B7" s="51"/>
      <c r="C7" s="51"/>
      <c r="D7" s="51"/>
      <c r="E7" s="51"/>
      <c r="F7" t="s" s="52">
        <v>23</v>
      </c>
      <c r="G7" s="53"/>
      <c r="H7" t="s" s="238">
        <v>9</v>
      </c>
      <c r="I7" s="51"/>
      <c r="J7" s="54"/>
      <c r="K7" s="49"/>
      <c r="L7" s="55"/>
      <c r="M7" s="55"/>
      <c r="N7" s="55"/>
      <c r="O7" s="55"/>
      <c r="P7" s="55"/>
      <c r="Q7" s="56"/>
      <c r="R7" s="10"/>
      <c r="S7" s="13"/>
    </row>
    <row r="8" ht="18" customHeight="1">
      <c r="A8" t="s" s="57">
        <v>24</v>
      </c>
      <c r="B8" t="s" s="58">
        <v>157</v>
      </c>
      <c r="C8" s="59"/>
      <c r="D8" t="s" s="60">
        <v>158</v>
      </c>
      <c r="E8" s="59"/>
      <c r="F8" t="s" s="61">
        <v>27</v>
      </c>
      <c r="G8" t="s" s="62">
        <v>28</v>
      </c>
      <c r="H8" s="63"/>
      <c r="I8" s="63"/>
      <c r="J8" s="64"/>
      <c r="K8" s="49"/>
      <c r="L8" s="34"/>
      <c r="M8" s="34"/>
      <c r="N8" s="34"/>
      <c r="O8" s="34"/>
      <c r="P8" s="34"/>
      <c r="Q8" s="35"/>
      <c r="R8" s="10"/>
      <c r="S8" s="13"/>
    </row>
    <row r="9" ht="12" customHeight="1">
      <c r="A9" s="65"/>
      <c r="B9" t="s" s="66">
        <v>29</v>
      </c>
      <c r="C9" s="67"/>
      <c r="D9" s="67"/>
      <c r="E9" s="67"/>
      <c r="F9" s="68"/>
      <c r="G9" s="68"/>
      <c r="H9" s="68"/>
      <c r="I9" s="68"/>
      <c r="J9" s="69"/>
      <c r="K9" s="43"/>
      <c r="L9" t="s" s="70">
        <v>30</v>
      </c>
      <c r="M9" t="s" s="71">
        <v>31</v>
      </c>
      <c r="N9" t="s" s="71">
        <v>32</v>
      </c>
      <c r="O9" t="s" s="71">
        <v>33</v>
      </c>
      <c r="P9" t="s" s="71">
        <v>34</v>
      </c>
      <c r="Q9" t="s" s="72">
        <v>35</v>
      </c>
      <c r="R9" s="49"/>
      <c r="S9" s="13"/>
    </row>
    <row r="10" ht="30" customHeight="1">
      <c r="A10" s="73"/>
      <c r="B10" s="74"/>
      <c r="C10" s="75"/>
      <c r="D10" s="75"/>
      <c r="E10" s="75"/>
      <c r="F10" s="75"/>
      <c r="G10" s="75"/>
      <c r="H10" s="75"/>
      <c r="I10" s="75"/>
      <c r="J10" s="76"/>
      <c r="K10" t="s" s="77">
        <v>9</v>
      </c>
      <c r="L10" t="s" s="78">
        <v>36</v>
      </c>
      <c r="M10" s="79">
        <v>48</v>
      </c>
      <c r="N10" s="80">
        <v>1</v>
      </c>
      <c r="O10" s="81">
        <v>4.34</v>
      </c>
      <c r="P10" s="82">
        <f>M10*O10</f>
        <v>208.32</v>
      </c>
      <c r="Q10" s="83">
        <f>P10/P15</f>
        <v>0.730066165750813</v>
      </c>
      <c r="R10" s="49"/>
      <c r="S10" s="13"/>
    </row>
    <row r="11" ht="19.5" customHeight="1">
      <c r="A11" t="s" s="57">
        <v>37</v>
      </c>
      <c r="B11" t="s" s="84">
        <v>38</v>
      </c>
      <c r="C11" s="85"/>
      <c r="D11" s="86"/>
      <c r="E11" s="87">
        <f>D24</f>
        <v>116810.58652013</v>
      </c>
      <c r="F11" t="s" s="88">
        <v>39</v>
      </c>
      <c r="G11" s="89">
        <f>E11/8</f>
        <v>14601.3233150163</v>
      </c>
      <c r="H11" t="s" s="90">
        <v>40</v>
      </c>
      <c r="I11" s="91"/>
      <c r="J11" s="92"/>
      <c r="K11" s="43"/>
      <c r="L11" t="s" s="78">
        <v>41</v>
      </c>
      <c r="M11" s="79">
        <v>9.6</v>
      </c>
      <c r="N11" s="80">
        <v>1</v>
      </c>
      <c r="O11" s="81">
        <v>4.34</v>
      </c>
      <c r="P11" s="82">
        <f>M11*O11</f>
        <v>41.664</v>
      </c>
      <c r="Q11" s="83">
        <f>P11/P15</f>
        <v>0.146013233150163</v>
      </c>
      <c r="R11" s="49"/>
      <c r="S11" s="13"/>
    </row>
    <row r="12" ht="17.25" customHeight="1">
      <c r="A12" s="65"/>
      <c r="B12" t="s" s="93">
        <v>42</v>
      </c>
      <c r="C12" s="94"/>
      <c r="D12" s="94"/>
      <c r="E12" s="95"/>
      <c r="F12" s="94"/>
      <c r="G12" s="95"/>
      <c r="H12" s="94"/>
      <c r="I12" s="94"/>
      <c r="J12" s="96"/>
      <c r="K12" s="43"/>
      <c r="L12" t="s" s="78">
        <v>43</v>
      </c>
      <c r="M12" s="79">
        <v>12</v>
      </c>
      <c r="N12" s="80">
        <v>1</v>
      </c>
      <c r="O12" s="81">
        <v>0</v>
      </c>
      <c r="P12" s="82">
        <f>M12*N12*O12</f>
        <v>0</v>
      </c>
      <c r="Q12" s="83">
        <f>P12/P15</f>
        <v>0</v>
      </c>
      <c r="R12" s="98"/>
      <c r="S12" s="99"/>
    </row>
    <row r="13" ht="17.25" customHeight="1">
      <c r="A13" s="65"/>
      <c r="B13" s="100"/>
      <c r="C13" s="94"/>
      <c r="D13" s="94"/>
      <c r="E13" s="94"/>
      <c r="F13" s="94"/>
      <c r="G13" s="94"/>
      <c r="H13" s="94"/>
      <c r="I13" s="94"/>
      <c r="J13" s="96"/>
      <c r="K13" s="43"/>
      <c r="L13" t="s" s="78">
        <v>44</v>
      </c>
      <c r="M13" s="79">
        <v>8</v>
      </c>
      <c r="N13" s="80">
        <v>0.5</v>
      </c>
      <c r="O13" s="81">
        <v>4.34</v>
      </c>
      <c r="P13" s="82">
        <f>M13*N13*O13</f>
        <v>17.36</v>
      </c>
      <c r="Q13" s="101">
        <f>P13/P15</f>
        <v>0.0608388471459011</v>
      </c>
      <c r="R13" s="49"/>
      <c r="S13" s="13"/>
    </row>
    <row r="14" ht="17.25" customHeight="1">
      <c r="A14" s="65"/>
      <c r="B14" s="100"/>
      <c r="C14" s="94"/>
      <c r="D14" s="94"/>
      <c r="E14" s="94"/>
      <c r="F14" s="94"/>
      <c r="G14" s="94"/>
      <c r="H14" s="94"/>
      <c r="I14" s="94"/>
      <c r="J14" s="96"/>
      <c r="K14" s="43"/>
      <c r="L14" t="s" s="78">
        <v>45</v>
      </c>
      <c r="M14" s="81">
        <v>0</v>
      </c>
      <c r="N14" s="80"/>
      <c r="O14" s="81">
        <v>0</v>
      </c>
      <c r="P14" s="82">
        <v>18</v>
      </c>
      <c r="Q14" s="101">
        <f>P14/P15</f>
        <v>0.0630817539531232</v>
      </c>
      <c r="R14" s="49"/>
      <c r="S14" s="13"/>
    </row>
    <row r="15" ht="13.5" customHeight="1">
      <c r="A15" s="65"/>
      <c r="B15" t="s" s="102">
        <v>46</v>
      </c>
      <c r="C15" s="68"/>
      <c r="D15" s="68"/>
      <c r="E15" s="68"/>
      <c r="F15" s="68"/>
      <c r="G15" s="68"/>
      <c r="H15" s="68"/>
      <c r="I15" s="68"/>
      <c r="J15" s="69"/>
      <c r="K15" s="43"/>
      <c r="L15" t="s" s="103">
        <v>47</v>
      </c>
      <c r="M15" s="104"/>
      <c r="N15" s="104"/>
      <c r="O15" s="105">
        <v>0</v>
      </c>
      <c r="P15" s="106">
        <f>SUM(P10:P14)</f>
        <v>285.344</v>
      </c>
      <c r="Q15" s="107">
        <f>SUM(Q10:Q14)</f>
        <v>1</v>
      </c>
      <c r="R15" s="49"/>
      <c r="S15" s="13"/>
    </row>
    <row r="16" ht="13.5" customHeight="1">
      <c r="A16" s="65"/>
      <c r="B16" s="108"/>
      <c r="C16" s="68"/>
      <c r="D16" s="68"/>
      <c r="E16" s="68"/>
      <c r="F16" s="68"/>
      <c r="G16" s="68"/>
      <c r="H16" s="68"/>
      <c r="I16" s="68"/>
      <c r="J16" s="69"/>
      <c r="K16" s="49"/>
      <c r="L16" s="56"/>
      <c r="M16" s="56"/>
      <c r="N16" s="56"/>
      <c r="O16" s="56"/>
      <c r="P16" s="56"/>
      <c r="Q16" s="56"/>
      <c r="R16" s="10"/>
      <c r="S16" s="13"/>
    </row>
    <row r="17" ht="21" customHeight="1">
      <c r="A17" s="65"/>
      <c r="B17" t="s" s="102">
        <v>48</v>
      </c>
      <c r="C17" s="68"/>
      <c r="D17" s="68"/>
      <c r="E17" s="68"/>
      <c r="F17" s="68"/>
      <c r="G17" s="109"/>
      <c r="H17" s="109"/>
      <c r="I17" s="109"/>
      <c r="J17" s="110"/>
      <c r="K17" s="49"/>
      <c r="L17" s="111"/>
      <c r="M17" s="112"/>
      <c r="N17" t="s" s="113">
        <v>49</v>
      </c>
      <c r="O17" s="114"/>
      <c r="P17" s="114"/>
      <c r="Q17" s="115">
        <v>9620</v>
      </c>
      <c r="R17" s="10"/>
      <c r="S17" s="13"/>
    </row>
    <row r="18" ht="15.75" customHeight="1">
      <c r="A18" s="65"/>
      <c r="B18" t="s" s="116">
        <v>108</v>
      </c>
      <c r="C18" s="117"/>
      <c r="D18" s="117"/>
      <c r="E18" s="117"/>
      <c r="F18" s="118"/>
      <c r="G18" s="119">
        <v>160000</v>
      </c>
      <c r="H18" t="s" s="120">
        <v>51</v>
      </c>
      <c r="I18" s="121"/>
      <c r="J18" s="122"/>
      <c r="K18" s="49"/>
      <c r="L18" s="111"/>
      <c r="M18" s="112"/>
      <c r="N18" s="10"/>
      <c r="O18" s="10"/>
      <c r="P18" s="123"/>
      <c r="Q18" s="10"/>
      <c r="R18" s="10"/>
      <c r="S18" s="13"/>
    </row>
    <row r="19" ht="15.75" customHeight="1">
      <c r="A19" s="65"/>
      <c r="B19" t="s" s="124">
        <v>159</v>
      </c>
      <c r="C19" s="125"/>
      <c r="D19" s="125"/>
      <c r="E19" s="125"/>
      <c r="F19" s="125"/>
      <c r="G19" s="126"/>
      <c r="H19" s="126"/>
      <c r="I19" s="126"/>
      <c r="J19" s="127"/>
      <c r="K19" s="49"/>
      <c r="L19" t="s" s="128">
        <v>53</v>
      </c>
      <c r="M19" s="129"/>
      <c r="N19" s="129"/>
      <c r="O19" s="129"/>
      <c r="P19" s="129"/>
      <c r="Q19" s="130"/>
      <c r="R19" s="10"/>
      <c r="S19" s="13"/>
    </row>
    <row r="20" ht="15.75" customHeight="1">
      <c r="A20" s="65"/>
      <c r="B20" t="s" s="124">
        <v>54</v>
      </c>
      <c r="C20" s="125"/>
      <c r="D20" s="125"/>
      <c r="E20" s="125"/>
      <c r="F20" s="125"/>
      <c r="G20" s="125"/>
      <c r="H20" s="125"/>
      <c r="I20" s="125"/>
      <c r="J20" s="131"/>
      <c r="K20" s="49"/>
      <c r="L20" t="s" s="128">
        <v>55</v>
      </c>
      <c r="M20" s="129"/>
      <c r="N20" s="129"/>
      <c r="O20" s="129"/>
      <c r="P20" s="129"/>
      <c r="Q20" s="130"/>
      <c r="R20" s="10"/>
      <c r="S20" s="13"/>
    </row>
    <row r="21" ht="15.75" customHeight="1">
      <c r="A21" s="73"/>
      <c r="B21" t="s" s="132">
        <v>160</v>
      </c>
      <c r="C21" s="133"/>
      <c r="D21" s="133"/>
      <c r="E21" s="133"/>
      <c r="F21" s="133"/>
      <c r="G21" s="133"/>
      <c r="H21" s="133"/>
      <c r="I21" s="133"/>
      <c r="J21" s="134"/>
      <c r="K21" s="49"/>
      <c r="L21" t="s" s="128">
        <v>57</v>
      </c>
      <c r="M21" s="129"/>
      <c r="N21" s="129"/>
      <c r="O21" s="129"/>
      <c r="P21" s="129"/>
      <c r="Q21" s="130"/>
      <c r="R21" s="10"/>
      <c r="S21" s="13"/>
    </row>
    <row r="22" ht="18.75" customHeight="1">
      <c r="A22" t="s" s="135">
        <v>58</v>
      </c>
      <c r="B22" t="s" s="136">
        <v>59</v>
      </c>
      <c r="C22" s="137"/>
      <c r="D22" t="s" s="138">
        <v>36</v>
      </c>
      <c r="E22" t="s" s="138">
        <v>60</v>
      </c>
      <c r="F22" t="s" s="138">
        <v>43</v>
      </c>
      <c r="G22" t="s" s="139">
        <v>61</v>
      </c>
      <c r="H22" s="140"/>
      <c r="I22" t="s" s="139">
        <v>45</v>
      </c>
      <c r="J22" s="141"/>
      <c r="K22" s="49"/>
      <c r="L22" t="s" s="128">
        <v>62</v>
      </c>
      <c r="M22" s="129"/>
      <c r="N22" s="129"/>
      <c r="O22" s="129"/>
      <c r="P22" s="129"/>
      <c r="Q22" s="130"/>
      <c r="R22" s="129"/>
      <c r="S22" s="142"/>
    </row>
    <row r="23" ht="18.75" customHeight="1">
      <c r="A23" s="143"/>
      <c r="B23" t="s" s="144">
        <v>63</v>
      </c>
      <c r="C23" s="145"/>
      <c r="D23" s="146">
        <f>Q10</f>
        <v>0.730066165750813</v>
      </c>
      <c r="E23" s="146">
        <f>Q11</f>
        <v>0.146013233150163</v>
      </c>
      <c r="F23" s="146">
        <f>Q12</f>
        <v>0</v>
      </c>
      <c r="G23" s="147">
        <f>Q13</f>
        <v>0.0608388471459011</v>
      </c>
      <c r="H23" s="148"/>
      <c r="I23" s="147">
        <f>Q14</f>
        <v>0.0630817539531232</v>
      </c>
      <c r="J23" s="149"/>
      <c r="K23" s="49"/>
      <c r="L23" s="129"/>
      <c r="M23" s="129"/>
      <c r="N23" s="129"/>
      <c r="O23" s="129"/>
      <c r="P23" s="129"/>
      <c r="Q23" s="129"/>
      <c r="R23" s="129"/>
      <c r="S23" s="142"/>
    </row>
    <row r="24" ht="18.75" customHeight="1">
      <c r="A24" s="150"/>
      <c r="B24" t="s" s="151">
        <v>64</v>
      </c>
      <c r="C24" s="152">
        <f>G11</f>
        <v>14601.3233150163</v>
      </c>
      <c r="D24" s="153">
        <f>G18*$D$23</f>
        <v>116810.58652013</v>
      </c>
      <c r="E24" s="153">
        <f>G18*$E$23</f>
        <v>23362.1173040261</v>
      </c>
      <c r="F24" s="153">
        <f>G18*$F$23</f>
        <v>0</v>
      </c>
      <c r="G24" s="154">
        <f>G18*$G$23</f>
        <v>9734.215543344180</v>
      </c>
      <c r="H24" s="155"/>
      <c r="I24" s="156">
        <f>G18*$I$23</f>
        <v>10093.0806324997</v>
      </c>
      <c r="J24" s="157"/>
      <c r="K24" s="49"/>
      <c r="L24" s="129"/>
      <c r="M24" s="129"/>
      <c r="N24" s="129"/>
      <c r="O24" s="129"/>
      <c r="P24" s="129"/>
      <c r="Q24" s="129"/>
      <c r="R24" s="129"/>
      <c r="S24" s="142"/>
    </row>
    <row r="25" ht="54.75" customHeight="1">
      <c r="A25" t="s" s="135">
        <v>65</v>
      </c>
      <c r="B25" t="s" s="158">
        <v>161</v>
      </c>
      <c r="C25" s="159"/>
      <c r="D25" s="159"/>
      <c r="E25" s="159"/>
      <c r="F25" s="159"/>
      <c r="G25" s="159"/>
      <c r="H25" s="159"/>
      <c r="I25" s="159"/>
      <c r="J25" s="160"/>
      <c r="K25" s="49"/>
      <c r="L25" t="s" s="128">
        <v>9</v>
      </c>
      <c r="M25" s="129"/>
      <c r="N25" s="129"/>
      <c r="O25" s="129"/>
      <c r="P25" s="129"/>
      <c r="Q25" s="130"/>
      <c r="R25" s="10"/>
      <c r="S25" s="142"/>
    </row>
    <row r="26" ht="66.75" customHeight="1">
      <c r="A26" s="73"/>
      <c r="B26" s="74"/>
      <c r="C26" s="75"/>
      <c r="D26" s="75"/>
      <c r="E26" s="75"/>
      <c r="F26" s="75"/>
      <c r="G26" s="75"/>
      <c r="H26" s="75"/>
      <c r="I26" s="75"/>
      <c r="J26" s="76"/>
      <c r="K26" s="49"/>
      <c r="L26" t="s" s="128">
        <v>9</v>
      </c>
      <c r="M26" s="129"/>
      <c r="N26" s="129"/>
      <c r="O26" s="129"/>
      <c r="P26" s="129"/>
      <c r="Q26" s="130"/>
      <c r="R26" s="10"/>
      <c r="S26" s="142"/>
    </row>
    <row r="27" ht="27.75" customHeight="1">
      <c r="A27" t="s" s="57">
        <v>67</v>
      </c>
      <c r="B27" t="s" s="158">
        <v>68</v>
      </c>
      <c r="C27" s="159"/>
      <c r="D27" s="159"/>
      <c r="E27" s="159"/>
      <c r="F27" s="159"/>
      <c r="G27" s="159"/>
      <c r="H27" s="159"/>
      <c r="I27" s="159"/>
      <c r="J27" s="160"/>
      <c r="K27" s="49"/>
      <c r="L27" s="161">
        <f>C24*8</f>
        <v>116810.58652013</v>
      </c>
      <c r="M27" s="162">
        <f>E24*5</f>
        <v>116810.586520131</v>
      </c>
      <c r="N27" s="129"/>
      <c r="O27" s="162"/>
      <c r="P27" s="163"/>
      <c r="Q27" s="162"/>
      <c r="R27" s="164"/>
      <c r="S27" s="165"/>
    </row>
    <row r="28" ht="27.75" customHeight="1">
      <c r="A28" s="73"/>
      <c r="B28" s="74"/>
      <c r="C28" s="75"/>
      <c r="D28" s="75"/>
      <c r="E28" s="75"/>
      <c r="F28" s="75"/>
      <c r="G28" s="75"/>
      <c r="H28" s="75"/>
      <c r="I28" s="75"/>
      <c r="J28" s="76"/>
      <c r="K28" s="49"/>
      <c r="L28" s="161"/>
      <c r="M28" s="163"/>
      <c r="N28" s="10"/>
      <c r="O28" s="10"/>
      <c r="P28" s="10"/>
      <c r="Q28" s="10"/>
      <c r="R28" s="164"/>
      <c r="S28" s="165"/>
    </row>
    <row r="29" ht="40.5" customHeight="1">
      <c r="A29" t="s" s="166">
        <v>69</v>
      </c>
      <c r="B29" t="s" s="167">
        <v>70</v>
      </c>
      <c r="C29" s="168"/>
      <c r="D29" s="168"/>
      <c r="E29" s="168"/>
      <c r="F29" s="168"/>
      <c r="G29" s="168"/>
      <c r="H29" s="168"/>
      <c r="I29" s="168"/>
      <c r="J29" s="169"/>
      <c r="K29" s="49"/>
      <c r="L29" t="s" s="170">
        <v>71</v>
      </c>
      <c r="M29" s="171"/>
      <c r="N29" s="171"/>
      <c r="O29" s="171"/>
      <c r="P29" s="171"/>
      <c r="Q29" s="171"/>
      <c r="R29" s="164"/>
      <c r="S29" s="165"/>
    </row>
    <row r="30" ht="23.25" customHeight="1">
      <c r="A30" t="s" s="135">
        <v>72</v>
      </c>
      <c r="B30" t="s" s="158">
        <v>73</v>
      </c>
      <c r="C30" s="159"/>
      <c r="D30" s="159"/>
      <c r="E30" s="159"/>
      <c r="F30" s="159"/>
      <c r="G30" s="159"/>
      <c r="H30" s="159"/>
      <c r="I30" s="159"/>
      <c r="J30" s="160"/>
      <c r="K30" s="49"/>
      <c r="L30" s="171"/>
      <c r="M30" s="171"/>
      <c r="N30" s="171"/>
      <c r="O30" s="171"/>
      <c r="P30" s="171"/>
      <c r="Q30" s="171"/>
      <c r="R30" s="164"/>
      <c r="S30" s="164"/>
    </row>
    <row r="31" ht="23.25" customHeight="1">
      <c r="A31" s="143"/>
      <c r="B31" s="108"/>
      <c r="C31" s="68"/>
      <c r="D31" s="68"/>
      <c r="E31" s="68"/>
      <c r="F31" s="68"/>
      <c r="G31" s="68"/>
      <c r="H31" s="68"/>
      <c r="I31" s="68"/>
      <c r="J31" s="69"/>
      <c r="K31" s="49"/>
      <c r="L31" s="171"/>
      <c r="M31" s="171"/>
      <c r="N31" s="171"/>
      <c r="O31" s="171"/>
      <c r="P31" s="171"/>
      <c r="Q31" s="171"/>
      <c r="R31" s="10"/>
      <c r="S31" s="142"/>
    </row>
    <row r="32" ht="23.25" customHeight="1">
      <c r="A32" s="143"/>
      <c r="B32" s="108"/>
      <c r="C32" s="68"/>
      <c r="D32" s="68"/>
      <c r="E32" s="68"/>
      <c r="F32" s="68"/>
      <c r="G32" s="68"/>
      <c r="H32" s="68"/>
      <c r="I32" s="68"/>
      <c r="J32" s="69"/>
      <c r="K32" s="49"/>
      <c r="L32" s="171"/>
      <c r="M32" s="171"/>
      <c r="N32" s="171"/>
      <c r="O32" s="171"/>
      <c r="P32" s="171"/>
      <c r="Q32" s="171"/>
      <c r="R32" s="10"/>
      <c r="S32" s="142"/>
    </row>
    <row r="33" ht="23.25" customHeight="1">
      <c r="A33" s="143"/>
      <c r="B33" s="108"/>
      <c r="C33" s="68"/>
      <c r="D33" s="68"/>
      <c r="E33" s="68"/>
      <c r="F33" s="68"/>
      <c r="G33" s="68"/>
      <c r="H33" s="68"/>
      <c r="I33" s="68"/>
      <c r="J33" s="69"/>
      <c r="K33" s="49"/>
      <c r="L33" s="172"/>
      <c r="M33" s="172"/>
      <c r="N33" s="172"/>
      <c r="O33" s="172"/>
      <c r="P33" s="172"/>
      <c r="Q33" s="10"/>
      <c r="R33" s="10"/>
      <c r="S33" s="142"/>
    </row>
    <row r="34" ht="23.25" customHeight="1">
      <c r="A34" s="143"/>
      <c r="B34" s="108"/>
      <c r="C34" s="68"/>
      <c r="D34" s="68"/>
      <c r="E34" s="68"/>
      <c r="F34" s="68"/>
      <c r="G34" s="68"/>
      <c r="H34" s="68"/>
      <c r="I34" s="68"/>
      <c r="J34" s="69"/>
      <c r="K34" s="173"/>
      <c r="L34" s="174"/>
      <c r="M34" s="174"/>
      <c r="N34" s="174"/>
      <c r="O34" s="174"/>
      <c r="P34" s="174"/>
      <c r="Q34" s="175"/>
      <c r="R34" s="10"/>
      <c r="S34" s="142"/>
    </row>
    <row r="35" ht="28.5" customHeight="1">
      <c r="A35" s="150"/>
      <c r="B35" s="74"/>
      <c r="C35" s="75"/>
      <c r="D35" s="75"/>
      <c r="E35" s="75"/>
      <c r="F35" s="75"/>
      <c r="G35" s="75"/>
      <c r="H35" s="75"/>
      <c r="I35" s="75"/>
      <c r="J35" s="76"/>
      <c r="K35" s="173"/>
      <c r="L35" s="176"/>
      <c r="M35" s="176"/>
      <c r="N35" s="176"/>
      <c r="O35" s="176"/>
      <c r="P35" s="176"/>
      <c r="Q35" s="177"/>
      <c r="R35" s="178"/>
      <c r="S35" s="142"/>
    </row>
    <row r="36" ht="21" customHeight="1">
      <c r="A36" t="s" s="135">
        <v>74</v>
      </c>
      <c r="B36" t="s" s="158">
        <v>162</v>
      </c>
      <c r="C36" s="159"/>
      <c r="D36" s="159"/>
      <c r="E36" s="159"/>
      <c r="F36" s="159"/>
      <c r="G36" s="159"/>
      <c r="H36" s="159"/>
      <c r="I36" s="159"/>
      <c r="J36" s="160"/>
      <c r="K36" s="173"/>
      <c r="L36" s="179"/>
      <c r="M36" s="179"/>
      <c r="N36" s="179"/>
      <c r="O36" s="179"/>
      <c r="P36" s="179"/>
      <c r="Q36" s="180"/>
      <c r="R36" s="181"/>
      <c r="S36" s="182"/>
    </row>
    <row r="37" ht="19.5" customHeight="1">
      <c r="A37" s="143"/>
      <c r="B37" s="108"/>
      <c r="C37" s="68"/>
      <c r="D37" s="68"/>
      <c r="E37" s="68"/>
      <c r="F37" s="68"/>
      <c r="G37" s="68"/>
      <c r="H37" s="68"/>
      <c r="I37" s="68"/>
      <c r="J37" s="69"/>
      <c r="K37" s="173"/>
      <c r="L37" s="183"/>
      <c r="M37" s="183"/>
      <c r="N37" s="183"/>
      <c r="O37" s="183"/>
      <c r="P37" s="183"/>
      <c r="Q37" s="184"/>
      <c r="R37" s="185"/>
      <c r="S37" s="182"/>
    </row>
    <row r="38" ht="19.5" customHeight="1">
      <c r="A38" s="143"/>
      <c r="B38" s="108"/>
      <c r="C38" s="68"/>
      <c r="D38" s="68"/>
      <c r="E38" s="68"/>
      <c r="F38" s="68"/>
      <c r="G38" s="68"/>
      <c r="H38" s="68"/>
      <c r="I38" s="68"/>
      <c r="J38" s="69"/>
      <c r="K38" s="173"/>
      <c r="L38" s="186"/>
      <c r="M38" s="186"/>
      <c r="N38" s="186"/>
      <c r="O38" s="186"/>
      <c r="P38" s="186"/>
      <c r="Q38" s="187"/>
      <c r="R38" s="188"/>
      <c r="S38" s="182"/>
    </row>
    <row r="39" ht="19.5" customHeight="1">
      <c r="A39" s="143"/>
      <c r="B39" s="108"/>
      <c r="C39" s="68"/>
      <c r="D39" s="68"/>
      <c r="E39" s="68"/>
      <c r="F39" s="68"/>
      <c r="G39" s="68"/>
      <c r="H39" s="68"/>
      <c r="I39" s="68"/>
      <c r="J39" s="69"/>
      <c r="K39" s="173"/>
      <c r="L39" s="186"/>
      <c r="M39" s="186"/>
      <c r="N39" s="186"/>
      <c r="O39" s="186"/>
      <c r="P39" s="186"/>
      <c r="Q39" s="187"/>
      <c r="R39" s="188"/>
      <c r="S39" s="182"/>
    </row>
    <row r="40" ht="19.5" customHeight="1">
      <c r="A40" s="150"/>
      <c r="B40" s="74"/>
      <c r="C40" s="75"/>
      <c r="D40" s="75"/>
      <c r="E40" s="75"/>
      <c r="F40" s="75"/>
      <c r="G40" s="75"/>
      <c r="H40" s="75"/>
      <c r="I40" s="75"/>
      <c r="J40" s="76"/>
      <c r="K40" s="173"/>
      <c r="L40" s="186"/>
      <c r="M40" s="186"/>
      <c r="N40" s="186"/>
      <c r="O40" s="186"/>
      <c r="P40" s="186"/>
      <c r="Q40" s="187"/>
      <c r="R40" s="188"/>
      <c r="S40" s="182"/>
    </row>
    <row r="41" ht="17.1" customHeight="1">
      <c r="A41" t="s" s="135">
        <v>76</v>
      </c>
      <c r="B41" t="s" s="167">
        <v>77</v>
      </c>
      <c r="C41" s="168"/>
      <c r="D41" s="168"/>
      <c r="E41" s="168"/>
      <c r="F41" s="168"/>
      <c r="G41" s="168"/>
      <c r="H41" s="168"/>
      <c r="I41" s="168"/>
      <c r="J41" s="169"/>
      <c r="K41" s="173"/>
      <c r="L41" s="186"/>
      <c r="M41" s="186"/>
      <c r="N41" s="186"/>
      <c r="O41" s="186"/>
      <c r="P41" s="186"/>
      <c r="Q41" s="187"/>
      <c r="R41" s="188"/>
      <c r="S41" s="182"/>
    </row>
    <row r="42" ht="19.5" customHeight="1">
      <c r="A42" s="143"/>
      <c r="B42" t="s" s="189">
        <v>78</v>
      </c>
      <c r="C42" s="190"/>
      <c r="D42" t="s" s="189">
        <v>79</v>
      </c>
      <c r="E42" s="190"/>
      <c r="F42" t="s" s="189">
        <v>80</v>
      </c>
      <c r="G42" s="190"/>
      <c r="H42" t="s" s="189">
        <v>81</v>
      </c>
      <c r="I42" s="190"/>
      <c r="J42" t="s" s="191">
        <v>82</v>
      </c>
      <c r="K42" s="192"/>
      <c r="L42" s="186"/>
      <c r="M42" s="186"/>
      <c r="N42" s="186"/>
      <c r="O42" s="186"/>
      <c r="P42" s="186"/>
      <c r="Q42" s="187"/>
      <c r="R42" s="188"/>
      <c r="S42" s="182"/>
    </row>
    <row r="43" ht="19.5" customHeight="1">
      <c r="A43" s="143"/>
      <c r="B43" t="s" s="193">
        <v>83</v>
      </c>
      <c r="C43" s="194"/>
      <c r="D43" t="s" s="193">
        <v>83</v>
      </c>
      <c r="E43" s="194"/>
      <c r="F43" t="s" s="193">
        <v>83</v>
      </c>
      <c r="G43" s="194"/>
      <c r="H43" t="s" s="193">
        <v>83</v>
      </c>
      <c r="I43" s="194"/>
      <c r="J43" t="s" s="195">
        <v>83</v>
      </c>
      <c r="K43" s="192"/>
      <c r="L43" s="186"/>
      <c r="M43" s="186"/>
      <c r="N43" s="186"/>
      <c r="O43" s="186"/>
      <c r="P43" s="186"/>
      <c r="Q43" s="187"/>
      <c r="R43" s="188"/>
      <c r="S43" s="182"/>
    </row>
    <row r="44" ht="19.5" customHeight="1">
      <c r="A44" s="150"/>
      <c r="B44" t="s" s="167">
        <v>163</v>
      </c>
      <c r="C44" s="168"/>
      <c r="D44" s="168"/>
      <c r="E44" s="168"/>
      <c r="F44" s="168"/>
      <c r="G44" s="168"/>
      <c r="H44" s="168"/>
      <c r="I44" s="168"/>
      <c r="J44" s="169"/>
      <c r="K44" s="173"/>
      <c r="L44" s="186"/>
      <c r="M44" s="186"/>
      <c r="N44" s="186"/>
      <c r="O44" s="186"/>
      <c r="P44" s="186"/>
      <c r="Q44" s="187"/>
      <c r="R44" s="188"/>
      <c r="S44" s="182"/>
    </row>
    <row r="45" ht="21" customHeight="1">
      <c r="A45" t="s" s="196">
        <v>85</v>
      </c>
      <c r="B45" t="s" s="197">
        <v>164</v>
      </c>
      <c r="C45" s="198"/>
      <c r="D45" s="198"/>
      <c r="E45" s="198"/>
      <c r="F45" s="198"/>
      <c r="G45" s="198"/>
      <c r="H45" s="198"/>
      <c r="I45" s="198"/>
      <c r="J45" s="199"/>
      <c r="K45" s="49"/>
      <c r="L45" s="200"/>
      <c r="M45" s="200"/>
      <c r="N45" s="200"/>
      <c r="O45" s="200"/>
      <c r="P45" s="200"/>
      <c r="Q45" s="10"/>
      <c r="R45" s="200"/>
      <c r="S45" s="142"/>
    </row>
    <row r="46" ht="19.5" customHeight="1">
      <c r="A46" t="s" s="201">
        <v>165</v>
      </c>
      <c r="B46" s="202"/>
      <c r="C46" s="202"/>
      <c r="D46" s="202"/>
      <c r="E46" s="202"/>
      <c r="F46" s="202"/>
      <c r="G46" s="202"/>
      <c r="H46" s="202"/>
      <c r="I46" s="202"/>
      <c r="J46" s="203"/>
      <c r="K46" s="49"/>
      <c r="L46" s="10"/>
      <c r="M46" s="10"/>
      <c r="N46" s="10"/>
      <c r="O46" s="10"/>
      <c r="P46" s="10"/>
      <c r="Q46" s="10"/>
      <c r="R46" s="10"/>
      <c r="S46" s="13"/>
    </row>
    <row r="47" ht="23.25" customHeight="1">
      <c r="A47" t="s" s="204">
        <v>88</v>
      </c>
      <c r="B47" s="205"/>
      <c r="C47" s="205"/>
      <c r="D47" s="205"/>
      <c r="E47" s="205"/>
      <c r="F47" t="s" s="206">
        <v>89</v>
      </c>
      <c r="G47" s="205"/>
      <c r="H47" s="205"/>
      <c r="I47" s="205"/>
      <c r="J47" s="207"/>
      <c r="K47" s="49"/>
      <c r="L47" s="10"/>
      <c r="M47" s="10"/>
      <c r="N47" s="10"/>
      <c r="O47" s="10"/>
      <c r="P47" s="10"/>
      <c r="Q47" s="10"/>
      <c r="R47" s="10"/>
      <c r="S47" s="161"/>
    </row>
    <row r="48" ht="23.25" customHeight="1">
      <c r="A48" t="s" s="208">
        <v>90</v>
      </c>
      <c r="B48" s="209"/>
      <c r="C48" t="s" s="210">
        <f>A4</f>
        <v>91</v>
      </c>
      <c r="D48" s="209"/>
      <c r="E48" s="209"/>
      <c r="F48" t="s" s="211">
        <v>92</v>
      </c>
      <c r="G48" t="s" s="243">
        <v>166</v>
      </c>
      <c r="H48" s="244"/>
      <c r="I48" s="244"/>
      <c r="J48" s="245"/>
      <c r="K48" s="49"/>
      <c r="L48" s="10"/>
      <c r="M48" s="10"/>
      <c r="N48" s="10"/>
      <c r="O48" s="10"/>
      <c r="P48" s="10"/>
      <c r="Q48" s="10"/>
      <c r="R48" s="10"/>
      <c r="S48" s="13"/>
    </row>
    <row r="49" ht="23.25" customHeight="1">
      <c r="A49" t="s" s="215">
        <v>94</v>
      </c>
      <c r="B49" s="216"/>
      <c r="C49" t="s" s="217">
        <v>95</v>
      </c>
      <c r="D49" s="216"/>
      <c r="E49" s="216"/>
      <c r="F49" t="s" s="246">
        <v>96</v>
      </c>
      <c r="G49" s="216"/>
      <c r="H49" s="216"/>
      <c r="I49" s="216"/>
      <c r="J49" s="247"/>
      <c r="K49" s="49"/>
      <c r="L49" s="10"/>
      <c r="M49" s="10"/>
      <c r="N49" s="10"/>
      <c r="O49" s="10"/>
      <c r="P49" s="10"/>
      <c r="Q49" s="10"/>
      <c r="R49" s="10"/>
      <c r="S49" s="13"/>
    </row>
    <row r="50" ht="23.25" customHeight="1">
      <c r="A50" t="s" s="215">
        <v>98</v>
      </c>
      <c r="B50" s="216"/>
      <c r="C50" s="216"/>
      <c r="D50" s="216"/>
      <c r="E50" s="216"/>
      <c r="F50" t="s" s="217">
        <v>99</v>
      </c>
      <c r="G50" s="216"/>
      <c r="H50" s="216"/>
      <c r="I50" s="216"/>
      <c r="J50" s="247"/>
      <c r="K50" s="49"/>
      <c r="L50" s="10"/>
      <c r="M50" s="10"/>
      <c r="N50" s="10"/>
      <c r="O50" s="10"/>
      <c r="P50" s="10"/>
      <c r="Q50" s="10"/>
      <c r="R50" s="10"/>
      <c r="S50" s="13"/>
    </row>
    <row r="51" ht="23.25" customHeight="1">
      <c r="A51" t="s" s="226">
        <v>101</v>
      </c>
      <c r="B51" s="227"/>
      <c r="C51" t="s" s="248">
        <v>167</v>
      </c>
      <c r="D51" s="249"/>
      <c r="E51" s="249"/>
      <c r="F51" t="s" s="250">
        <v>103</v>
      </c>
      <c r="G51" s="227"/>
      <c r="H51" s="227"/>
      <c r="I51" s="227"/>
      <c r="J51" s="251"/>
      <c r="K51" s="49"/>
      <c r="L51" s="10"/>
      <c r="M51" s="10"/>
      <c r="N51" s="10"/>
      <c r="O51" s="10"/>
      <c r="P51" s="10"/>
      <c r="Q51" s="10"/>
      <c r="R51" s="10"/>
      <c r="S51" s="1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conditionalFormatting sqref="M5:M6 O5:P5 E11 G11 H18:J18 C24:H24 P27 M28 L36:P44">
    <cfRule type="cellIs" dxfId="8" priority="1" operator="lessThan" stopIfTrue="1">
      <formula>0</formula>
    </cfRule>
  </conditionalFormatting>
  <pageMargins left="0.7" right="0.7" top="0.75" bottom="0.75" header="0.3" footer="0.3"/>
  <pageSetup firstPageNumber="1" fitToHeight="1" fitToWidth="1" scale="65" useFirstPageNumber="0" orientation="portrait" pageOrder="downThenOver"/>
  <headerFooter>
    <oddFooter>&amp;C&amp;"Helvetica Neue,Regular"&amp;12&amp;K000000&amp;P</oddFooter>
  </headerFooter>
  <drawing r:id="rId1"/>
  <legacyDrawing r:id="rId2"/>
</worksheet>
</file>

<file path=xl/worksheets/sheet11.xml><?xml version="1.0" encoding="utf-8"?>
<worksheet xmlns:r="http://schemas.openxmlformats.org/officeDocument/2006/relationships" xmlns="http://schemas.openxmlformats.org/spreadsheetml/2006/main">
  <dimension ref="A1:S51"/>
  <sheetViews>
    <sheetView workbookViewId="0" showGridLines="0" defaultGridColor="1"/>
  </sheetViews>
  <sheetFormatPr defaultColWidth="8.83333" defaultRowHeight="16.5" customHeight="1" outlineLevelRow="0" outlineLevelCol="0"/>
  <cols>
    <col min="1" max="1" width="10.3516" style="266" customWidth="1"/>
    <col min="2" max="2" width="12.5" style="266" customWidth="1"/>
    <col min="3" max="3" width="12.3516" style="266" customWidth="1"/>
    <col min="4" max="4" width="11.8516" style="266" customWidth="1"/>
    <col min="5" max="5" width="12.3516" style="266" customWidth="1"/>
    <col min="6" max="6" width="11" style="266" customWidth="1"/>
    <col min="7" max="7" width="15.6719" style="266" customWidth="1"/>
    <col min="8" max="8" width="9" style="266" customWidth="1"/>
    <col min="9" max="9" width="12.3516" style="266" customWidth="1"/>
    <col min="10" max="10" width="11.8516" style="266" customWidth="1"/>
    <col min="11" max="11" width="5.5" style="266" customWidth="1"/>
    <col min="12" max="16" width="11.6719" style="266" customWidth="1"/>
    <col min="17" max="17" width="14.3516" style="266" customWidth="1"/>
    <col min="18" max="18" width="10" style="266" customWidth="1"/>
    <col min="19" max="19" width="13" style="266" customWidth="1"/>
    <col min="20" max="16384" width="8.85156" style="266" customWidth="1"/>
  </cols>
  <sheetData>
    <row r="1" ht="14.25" customHeight="1">
      <c r="A1" t="s" s="7">
        <v>6</v>
      </c>
      <c r="B1" s="8"/>
      <c r="C1" s="8"/>
      <c r="D1" s="8"/>
      <c r="E1" s="8"/>
      <c r="F1" s="9"/>
      <c r="G1" s="9"/>
      <c r="H1" s="9"/>
      <c r="I1" s="9"/>
      <c r="J1" s="9"/>
      <c r="K1" s="10"/>
      <c r="L1" t="s" s="11">
        <v>7</v>
      </c>
      <c r="M1" s="12"/>
      <c r="N1" s="12"/>
      <c r="O1" s="12"/>
      <c r="P1" s="12"/>
      <c r="Q1" s="12"/>
      <c r="R1" s="10"/>
      <c r="S1" s="13"/>
    </row>
    <row r="2" ht="27" customHeight="1">
      <c r="A2" t="s" s="14">
        <v>8</v>
      </c>
      <c r="B2" s="15"/>
      <c r="C2" s="15"/>
      <c r="D2" s="15"/>
      <c r="E2" s="15"/>
      <c r="F2" s="15"/>
      <c r="G2" s="15"/>
      <c r="H2" s="15"/>
      <c r="I2" s="15"/>
      <c r="J2" s="15"/>
      <c r="K2" s="10"/>
      <c r="L2" s="12"/>
      <c r="M2" s="12"/>
      <c r="N2" s="12"/>
      <c r="O2" s="12"/>
      <c r="P2" s="12"/>
      <c r="Q2" s="12"/>
      <c r="R2" s="10"/>
      <c r="S2" s="13"/>
    </row>
    <row r="3" ht="8" customHeight="1">
      <c r="A3" s="16"/>
      <c r="B3" s="16"/>
      <c r="C3" s="16"/>
      <c r="D3" s="16"/>
      <c r="E3" s="16"/>
      <c r="F3" s="16"/>
      <c r="G3" s="16"/>
      <c r="H3" s="16"/>
      <c r="I3" s="16"/>
      <c r="J3" s="16"/>
      <c r="K3" s="17"/>
      <c r="L3" t="s" s="18">
        <v>9</v>
      </c>
      <c r="M3" s="19"/>
      <c r="N3" s="19"/>
      <c r="O3" s="19"/>
      <c r="P3" s="19"/>
      <c r="Q3" s="10"/>
      <c r="R3" s="10"/>
      <c r="S3" s="13"/>
    </row>
    <row r="4" ht="17.25" customHeight="1">
      <c r="A4" t="s" s="20">
        <v>10</v>
      </c>
      <c r="B4" s="21"/>
      <c r="C4" t="s" s="22">
        <v>11</v>
      </c>
      <c r="D4" s="23"/>
      <c r="E4" t="s" s="253">
        <v>118</v>
      </c>
      <c r="F4" t="s" s="22">
        <v>13</v>
      </c>
      <c r="G4" s="25"/>
      <c r="H4" s="25"/>
      <c r="I4" s="25"/>
      <c r="J4" s="26"/>
      <c r="K4" s="27"/>
      <c r="L4" s="19"/>
      <c r="M4" s="19"/>
      <c r="N4" s="19"/>
      <c r="O4" s="19"/>
      <c r="P4" s="19"/>
      <c r="Q4" s="10"/>
      <c r="R4" s="10"/>
      <c r="S4" s="13"/>
    </row>
    <row r="5" ht="15" customHeight="1">
      <c r="A5" t="s" s="28">
        <v>14</v>
      </c>
      <c r="B5" s="29"/>
      <c r="C5" s="30"/>
      <c r="D5" s="30"/>
      <c r="E5" s="29"/>
      <c r="F5" s="30"/>
      <c r="G5" s="30"/>
      <c r="H5" s="30"/>
      <c r="I5" s="30"/>
      <c r="J5" s="31"/>
      <c r="K5" s="27"/>
      <c r="L5" t="s" s="32">
        <v>9</v>
      </c>
      <c r="M5" s="33"/>
      <c r="N5" s="34"/>
      <c r="O5" s="33"/>
      <c r="P5" s="33"/>
      <c r="Q5" s="35"/>
      <c r="R5" s="10"/>
      <c r="S5" s="13"/>
    </row>
    <row r="6" ht="21.75" customHeight="1">
      <c r="A6" t="s" s="36">
        <v>15</v>
      </c>
      <c r="B6" t="s" s="37">
        <v>9</v>
      </c>
      <c r="C6" s="38"/>
      <c r="D6" s="38"/>
      <c r="E6" s="39"/>
      <c r="F6" t="s" s="40">
        <v>17</v>
      </c>
      <c r="G6" s="41"/>
      <c r="H6" s="237"/>
      <c r="I6" s="38"/>
      <c r="J6" s="42"/>
      <c r="K6" s="43"/>
      <c r="L6" t="s" s="44">
        <v>19</v>
      </c>
      <c r="M6" s="45"/>
      <c r="N6" t="s" s="46">
        <v>20</v>
      </c>
      <c r="O6" s="47">
        <v>8</v>
      </c>
      <c r="P6" t="s" s="46">
        <v>21</v>
      </c>
      <c r="Q6" s="48">
        <v>6</v>
      </c>
      <c r="R6" s="49"/>
      <c r="S6" s="13"/>
    </row>
    <row r="7" ht="21.75" customHeight="1">
      <c r="A7" t="s" s="50">
        <v>22</v>
      </c>
      <c r="B7" s="51"/>
      <c r="C7" s="51"/>
      <c r="D7" s="51"/>
      <c r="E7" s="51"/>
      <c r="F7" t="s" s="52">
        <v>23</v>
      </c>
      <c r="G7" s="53"/>
      <c r="H7" t="s" s="238">
        <v>9</v>
      </c>
      <c r="I7" s="51"/>
      <c r="J7" s="54"/>
      <c r="K7" s="49"/>
      <c r="L7" s="55"/>
      <c r="M7" s="55"/>
      <c r="N7" s="55"/>
      <c r="O7" s="55"/>
      <c r="P7" s="55"/>
      <c r="Q7" s="56"/>
      <c r="R7" s="10"/>
      <c r="S7" s="13"/>
    </row>
    <row r="8" ht="18" customHeight="1">
      <c r="A8" t="s" s="57">
        <v>24</v>
      </c>
      <c r="B8" t="s" s="58">
        <v>169</v>
      </c>
      <c r="C8" s="59"/>
      <c r="D8" t="s" s="60">
        <v>170</v>
      </c>
      <c r="E8" s="59"/>
      <c r="F8" t="s" s="61">
        <v>27</v>
      </c>
      <c r="G8" t="s" s="62">
        <v>28</v>
      </c>
      <c r="H8" s="63"/>
      <c r="I8" s="63"/>
      <c r="J8" s="64"/>
      <c r="K8" s="49"/>
      <c r="L8" s="34"/>
      <c r="M8" s="34"/>
      <c r="N8" s="34"/>
      <c r="O8" s="34"/>
      <c r="P8" s="34"/>
      <c r="Q8" s="35"/>
      <c r="R8" s="10"/>
      <c r="S8" s="13"/>
    </row>
    <row r="9" ht="12" customHeight="1">
      <c r="A9" s="65"/>
      <c r="B9" t="s" s="66">
        <v>29</v>
      </c>
      <c r="C9" s="67"/>
      <c r="D9" s="67"/>
      <c r="E9" s="67"/>
      <c r="F9" s="68"/>
      <c r="G9" s="68"/>
      <c r="H9" s="68"/>
      <c r="I9" s="68"/>
      <c r="J9" s="69"/>
      <c r="K9" s="43"/>
      <c r="L9" t="s" s="70">
        <v>30</v>
      </c>
      <c r="M9" t="s" s="71">
        <v>31</v>
      </c>
      <c r="N9" t="s" s="71">
        <v>32</v>
      </c>
      <c r="O9" t="s" s="71">
        <v>33</v>
      </c>
      <c r="P9" t="s" s="71">
        <v>34</v>
      </c>
      <c r="Q9" t="s" s="72">
        <v>35</v>
      </c>
      <c r="R9" s="49"/>
      <c r="S9" s="13"/>
    </row>
    <row r="10" ht="30" customHeight="1">
      <c r="A10" s="73"/>
      <c r="B10" s="74"/>
      <c r="C10" s="75"/>
      <c r="D10" s="75"/>
      <c r="E10" s="75"/>
      <c r="F10" s="75"/>
      <c r="G10" s="75"/>
      <c r="H10" s="75"/>
      <c r="I10" s="75"/>
      <c r="J10" s="76"/>
      <c r="K10" t="s" s="77">
        <v>9</v>
      </c>
      <c r="L10" t="s" s="78">
        <v>36</v>
      </c>
      <c r="M10" s="79">
        <v>48</v>
      </c>
      <c r="N10" s="80">
        <v>1</v>
      </c>
      <c r="O10" s="81">
        <v>4.34</v>
      </c>
      <c r="P10" s="82">
        <f>M10*O10</f>
        <v>208.32</v>
      </c>
      <c r="Q10" s="83">
        <f>P10/P15</f>
        <v>0.603224610822832</v>
      </c>
      <c r="R10" s="49"/>
      <c r="S10" s="13"/>
    </row>
    <row r="11" ht="19.5" customHeight="1">
      <c r="A11" t="s" s="57">
        <v>37</v>
      </c>
      <c r="B11" t="s" s="84">
        <v>38</v>
      </c>
      <c r="C11" s="85"/>
      <c r="D11" s="86"/>
      <c r="E11" s="87">
        <f>D24</f>
        <v>68187.338769459006</v>
      </c>
      <c r="F11" t="s" s="88">
        <v>39</v>
      </c>
      <c r="G11" s="89">
        <f>E11/8</f>
        <v>8523.417346182379</v>
      </c>
      <c r="H11" t="s" s="90">
        <v>40</v>
      </c>
      <c r="I11" s="91"/>
      <c r="J11" s="92"/>
      <c r="K11" s="43"/>
      <c r="L11" t="s" s="78">
        <v>41</v>
      </c>
      <c r="M11" s="79">
        <v>9.6</v>
      </c>
      <c r="N11" s="80">
        <v>1</v>
      </c>
      <c r="O11" s="81">
        <v>4.34</v>
      </c>
      <c r="P11" s="82">
        <f>M11*O11</f>
        <v>41.664</v>
      </c>
      <c r="Q11" s="83">
        <f>P11/P15</f>
        <v>0.120644922164566</v>
      </c>
      <c r="R11" s="49"/>
      <c r="S11" s="13"/>
    </row>
    <row r="12" ht="17.25" customHeight="1">
      <c r="A12" s="65"/>
      <c r="B12" t="s" s="93">
        <v>42</v>
      </c>
      <c r="C12" s="94"/>
      <c r="D12" s="94"/>
      <c r="E12" s="95"/>
      <c r="F12" s="94"/>
      <c r="G12" s="95"/>
      <c r="H12" s="94"/>
      <c r="I12" s="94"/>
      <c r="J12" s="96"/>
      <c r="K12" s="43"/>
      <c r="L12" t="s" s="78">
        <v>43</v>
      </c>
      <c r="M12" s="79">
        <v>12</v>
      </c>
      <c r="N12" s="80">
        <v>1</v>
      </c>
      <c r="O12" s="81">
        <v>5</v>
      </c>
      <c r="P12" s="82">
        <f>M12*N12*O12</f>
        <v>60</v>
      </c>
      <c r="Q12" s="83">
        <f>P12/P15</f>
        <v>0.17373980726464</v>
      </c>
      <c r="R12" s="98"/>
      <c r="S12" s="99"/>
    </row>
    <row r="13" ht="17.25" customHeight="1">
      <c r="A13" s="65"/>
      <c r="B13" s="100"/>
      <c r="C13" s="94"/>
      <c r="D13" s="94"/>
      <c r="E13" s="94"/>
      <c r="F13" s="94"/>
      <c r="G13" s="94"/>
      <c r="H13" s="94"/>
      <c r="I13" s="94"/>
      <c r="J13" s="96"/>
      <c r="K13" s="43"/>
      <c r="L13" t="s" s="78">
        <v>44</v>
      </c>
      <c r="M13" s="79">
        <v>8</v>
      </c>
      <c r="N13" s="80">
        <v>0.5</v>
      </c>
      <c r="O13" s="81">
        <v>4.34</v>
      </c>
      <c r="P13" s="82">
        <f>M13*N13*O13</f>
        <v>17.36</v>
      </c>
      <c r="Q13" s="101">
        <f>P13/P15</f>
        <v>0.0502687175685693</v>
      </c>
      <c r="R13" s="49"/>
      <c r="S13" s="13"/>
    </row>
    <row r="14" ht="17.25" customHeight="1">
      <c r="A14" s="65"/>
      <c r="B14" s="100"/>
      <c r="C14" s="94"/>
      <c r="D14" s="94"/>
      <c r="E14" s="94"/>
      <c r="F14" s="94"/>
      <c r="G14" s="94"/>
      <c r="H14" s="94"/>
      <c r="I14" s="94"/>
      <c r="J14" s="96"/>
      <c r="K14" s="43"/>
      <c r="L14" t="s" s="78">
        <v>45</v>
      </c>
      <c r="M14" s="81">
        <v>0</v>
      </c>
      <c r="N14" s="80"/>
      <c r="O14" s="81">
        <v>0</v>
      </c>
      <c r="P14" s="82">
        <v>18</v>
      </c>
      <c r="Q14" s="101">
        <f>P14/P15</f>
        <v>0.0521219421793921</v>
      </c>
      <c r="R14" s="49"/>
      <c r="S14" s="13"/>
    </row>
    <row r="15" ht="13.5" customHeight="1">
      <c r="A15" s="65"/>
      <c r="B15" t="s" s="102">
        <v>46</v>
      </c>
      <c r="C15" s="68"/>
      <c r="D15" s="68"/>
      <c r="E15" s="68"/>
      <c r="F15" s="68"/>
      <c r="G15" s="68"/>
      <c r="H15" s="68"/>
      <c r="I15" s="68"/>
      <c r="J15" s="69"/>
      <c r="K15" s="43"/>
      <c r="L15" t="s" s="103">
        <v>47</v>
      </c>
      <c r="M15" s="104"/>
      <c r="N15" s="104"/>
      <c r="O15" s="105">
        <v>0</v>
      </c>
      <c r="P15" s="106">
        <f>SUM(P10:P14)</f>
        <v>345.344</v>
      </c>
      <c r="Q15" s="107">
        <f>SUM(Q10:Q14)</f>
        <v>0.999999999999999</v>
      </c>
      <c r="R15" s="49"/>
      <c r="S15" s="13"/>
    </row>
    <row r="16" ht="13.5" customHeight="1">
      <c r="A16" s="65"/>
      <c r="B16" s="108"/>
      <c r="C16" s="68"/>
      <c r="D16" s="68"/>
      <c r="E16" s="68"/>
      <c r="F16" s="68"/>
      <c r="G16" s="68"/>
      <c r="H16" s="68"/>
      <c r="I16" s="68"/>
      <c r="J16" s="69"/>
      <c r="K16" s="49"/>
      <c r="L16" s="56"/>
      <c r="M16" s="56"/>
      <c r="N16" s="56"/>
      <c r="O16" s="56"/>
      <c r="P16" s="56"/>
      <c r="Q16" s="56"/>
      <c r="R16" s="10"/>
      <c r="S16" s="13"/>
    </row>
    <row r="17" ht="21" customHeight="1">
      <c r="A17" s="65"/>
      <c r="B17" t="s" s="102">
        <v>48</v>
      </c>
      <c r="C17" s="68"/>
      <c r="D17" s="68"/>
      <c r="E17" s="68"/>
      <c r="F17" s="68"/>
      <c r="G17" s="109"/>
      <c r="H17" s="109"/>
      <c r="I17" s="109"/>
      <c r="J17" s="110"/>
      <c r="K17" s="49"/>
      <c r="L17" s="111"/>
      <c r="M17" s="112"/>
      <c r="N17" t="s" s="113">
        <v>49</v>
      </c>
      <c r="O17" s="114"/>
      <c r="P17" s="114"/>
      <c r="Q17" s="115">
        <v>9620</v>
      </c>
      <c r="R17" s="10"/>
      <c r="S17" s="13"/>
    </row>
    <row r="18" ht="15.75" customHeight="1">
      <c r="A18" s="65"/>
      <c r="B18" t="s" s="116">
        <v>108</v>
      </c>
      <c r="C18" s="117"/>
      <c r="D18" s="117"/>
      <c r="E18" s="117"/>
      <c r="F18" s="118"/>
      <c r="G18" s="119">
        <v>113038.058371736</v>
      </c>
      <c r="H18" t="s" s="120">
        <v>51</v>
      </c>
      <c r="I18" s="121"/>
      <c r="J18" s="122"/>
      <c r="K18" s="49"/>
      <c r="L18" s="111"/>
      <c r="M18" s="112"/>
      <c r="N18" s="10"/>
      <c r="O18" s="10"/>
      <c r="P18" s="123"/>
      <c r="Q18" s="10"/>
      <c r="R18" s="10"/>
      <c r="S18" s="13"/>
    </row>
    <row r="19" ht="15.75" customHeight="1">
      <c r="A19" s="65"/>
      <c r="B19" t="s" s="124">
        <v>121</v>
      </c>
      <c r="C19" s="125"/>
      <c r="D19" s="125"/>
      <c r="E19" s="125"/>
      <c r="F19" s="125"/>
      <c r="G19" s="126"/>
      <c r="H19" s="126"/>
      <c r="I19" s="126"/>
      <c r="J19" s="127"/>
      <c r="K19" s="49"/>
      <c r="L19" t="s" s="128">
        <v>53</v>
      </c>
      <c r="M19" s="129"/>
      <c r="N19" s="129"/>
      <c r="O19" s="129"/>
      <c r="P19" s="129"/>
      <c r="Q19" s="130"/>
      <c r="R19" s="10"/>
      <c r="S19" s="13"/>
    </row>
    <row r="20" ht="15.75" customHeight="1">
      <c r="A20" s="65"/>
      <c r="B20" t="s" s="124">
        <v>54</v>
      </c>
      <c r="C20" s="125"/>
      <c r="D20" s="125"/>
      <c r="E20" s="125"/>
      <c r="F20" s="125"/>
      <c r="G20" s="125"/>
      <c r="H20" s="125"/>
      <c r="I20" s="125"/>
      <c r="J20" s="131"/>
      <c r="K20" s="49"/>
      <c r="L20" t="s" s="128">
        <v>55</v>
      </c>
      <c r="M20" s="129"/>
      <c r="N20" s="129"/>
      <c r="O20" s="129"/>
      <c r="P20" s="129"/>
      <c r="Q20" s="130"/>
      <c r="R20" s="10"/>
      <c r="S20" s="13"/>
    </row>
    <row r="21" ht="15.75" customHeight="1">
      <c r="A21" s="73"/>
      <c r="B21" t="s" s="132">
        <v>122</v>
      </c>
      <c r="C21" s="133"/>
      <c r="D21" s="133"/>
      <c r="E21" s="133"/>
      <c r="F21" s="133"/>
      <c r="G21" s="133"/>
      <c r="H21" s="133"/>
      <c r="I21" s="133"/>
      <c r="J21" s="134"/>
      <c r="K21" s="49"/>
      <c r="L21" t="s" s="128">
        <v>57</v>
      </c>
      <c r="M21" s="129"/>
      <c r="N21" s="129"/>
      <c r="O21" s="129"/>
      <c r="P21" s="129"/>
      <c r="Q21" s="130"/>
      <c r="R21" s="10"/>
      <c r="S21" s="13"/>
    </row>
    <row r="22" ht="18.75" customHeight="1">
      <c r="A22" t="s" s="135">
        <v>58</v>
      </c>
      <c r="B22" t="s" s="136">
        <v>59</v>
      </c>
      <c r="C22" s="137"/>
      <c r="D22" t="s" s="138">
        <v>36</v>
      </c>
      <c r="E22" t="s" s="138">
        <v>60</v>
      </c>
      <c r="F22" t="s" s="138">
        <v>43</v>
      </c>
      <c r="G22" t="s" s="139">
        <v>61</v>
      </c>
      <c r="H22" s="140"/>
      <c r="I22" t="s" s="139">
        <v>45</v>
      </c>
      <c r="J22" s="141"/>
      <c r="K22" s="49"/>
      <c r="L22" t="s" s="128">
        <v>62</v>
      </c>
      <c r="M22" s="129"/>
      <c r="N22" s="129"/>
      <c r="O22" s="129"/>
      <c r="P22" s="129"/>
      <c r="Q22" s="130"/>
      <c r="R22" s="129"/>
      <c r="S22" s="142"/>
    </row>
    <row r="23" ht="18.75" customHeight="1">
      <c r="A23" s="143"/>
      <c r="B23" t="s" s="144">
        <v>63</v>
      </c>
      <c r="C23" s="145"/>
      <c r="D23" s="146">
        <f>Q10</f>
        <v>0.603224610822832</v>
      </c>
      <c r="E23" s="146">
        <f>Q11</f>
        <v>0.120644922164566</v>
      </c>
      <c r="F23" s="146">
        <f>Q12</f>
        <v>0.17373980726464</v>
      </c>
      <c r="G23" s="147">
        <f>Q13</f>
        <v>0.0502687175685693</v>
      </c>
      <c r="H23" s="148"/>
      <c r="I23" s="147">
        <f>Q14</f>
        <v>0.0521219421793921</v>
      </c>
      <c r="J23" s="149"/>
      <c r="K23" s="49"/>
      <c r="L23" s="129"/>
      <c r="M23" s="129"/>
      <c r="N23" s="129"/>
      <c r="O23" s="129"/>
      <c r="P23" s="129"/>
      <c r="Q23" s="129"/>
      <c r="R23" s="129"/>
      <c r="S23" s="142"/>
    </row>
    <row r="24" ht="18.75" customHeight="1">
      <c r="A24" s="150"/>
      <c r="B24" t="s" s="151">
        <v>64</v>
      </c>
      <c r="C24" s="152">
        <f>G11</f>
        <v>8523.417346182379</v>
      </c>
      <c r="D24" s="153">
        <f>G18*$D$23</f>
        <v>68187.338769459006</v>
      </c>
      <c r="E24" s="153">
        <f>G18*$E$23</f>
        <v>13637.4677538918</v>
      </c>
      <c r="F24" s="153">
        <f>G18*$F$23</f>
        <v>19639.2104750745</v>
      </c>
      <c r="G24" s="154">
        <f>G18*$G$23</f>
        <v>5682.278230788250</v>
      </c>
      <c r="H24" s="155"/>
      <c r="I24" s="156">
        <f>G18*$I$23</f>
        <v>5891.763142522370</v>
      </c>
      <c r="J24" s="157"/>
      <c r="K24" s="49"/>
      <c r="L24" s="129"/>
      <c r="M24" s="129"/>
      <c r="N24" s="129"/>
      <c r="O24" s="129"/>
      <c r="P24" s="129"/>
      <c r="Q24" s="129"/>
      <c r="R24" s="129"/>
      <c r="S24" s="142"/>
    </row>
    <row r="25" ht="54.75" customHeight="1">
      <c r="A25" t="s" s="135">
        <v>65</v>
      </c>
      <c r="B25" t="s" s="158">
        <v>123</v>
      </c>
      <c r="C25" s="159"/>
      <c r="D25" s="159"/>
      <c r="E25" s="159"/>
      <c r="F25" s="159"/>
      <c r="G25" s="159"/>
      <c r="H25" s="159"/>
      <c r="I25" s="159"/>
      <c r="J25" s="160"/>
      <c r="K25" s="49"/>
      <c r="L25" t="s" s="128">
        <v>9</v>
      </c>
      <c r="M25" s="129"/>
      <c r="N25" s="129"/>
      <c r="O25" s="129"/>
      <c r="P25" s="129"/>
      <c r="Q25" s="130"/>
      <c r="R25" s="10"/>
      <c r="S25" s="142"/>
    </row>
    <row r="26" ht="66.75" customHeight="1">
      <c r="A26" s="73"/>
      <c r="B26" s="74"/>
      <c r="C26" s="75"/>
      <c r="D26" s="75"/>
      <c r="E26" s="75"/>
      <c r="F26" s="75"/>
      <c r="G26" s="75"/>
      <c r="H26" s="75"/>
      <c r="I26" s="75"/>
      <c r="J26" s="76"/>
      <c r="K26" s="49"/>
      <c r="L26" t="s" s="128">
        <v>9</v>
      </c>
      <c r="M26" s="129"/>
      <c r="N26" s="129"/>
      <c r="O26" s="129"/>
      <c r="P26" s="129"/>
      <c r="Q26" s="130"/>
      <c r="R26" s="10"/>
      <c r="S26" s="142"/>
    </row>
    <row r="27" ht="27.75" customHeight="1">
      <c r="A27" t="s" s="57">
        <v>67</v>
      </c>
      <c r="B27" t="s" s="158">
        <v>68</v>
      </c>
      <c r="C27" s="159"/>
      <c r="D27" s="159"/>
      <c r="E27" s="159"/>
      <c r="F27" s="159"/>
      <c r="G27" s="159"/>
      <c r="H27" s="159"/>
      <c r="I27" s="159"/>
      <c r="J27" s="160"/>
      <c r="K27" s="49"/>
      <c r="L27" s="161">
        <f>C24*8</f>
        <v>68187.338769459006</v>
      </c>
      <c r="M27" s="162">
        <f>E24*5</f>
        <v>68187.338769459006</v>
      </c>
      <c r="N27" s="129"/>
      <c r="O27" s="162"/>
      <c r="P27" s="163"/>
      <c r="Q27" s="162"/>
      <c r="R27" s="164"/>
      <c r="S27" s="165"/>
    </row>
    <row r="28" ht="27.75" customHeight="1">
      <c r="A28" s="73"/>
      <c r="B28" s="74"/>
      <c r="C28" s="75"/>
      <c r="D28" s="75"/>
      <c r="E28" s="75"/>
      <c r="F28" s="75"/>
      <c r="G28" s="75"/>
      <c r="H28" s="75"/>
      <c r="I28" s="75"/>
      <c r="J28" s="76"/>
      <c r="K28" s="49"/>
      <c r="L28" s="161"/>
      <c r="M28" s="163"/>
      <c r="N28" s="10"/>
      <c r="O28" s="10"/>
      <c r="P28" s="10"/>
      <c r="Q28" s="10"/>
      <c r="R28" s="164"/>
      <c r="S28" s="165"/>
    </row>
    <row r="29" ht="40.5" customHeight="1">
      <c r="A29" t="s" s="166">
        <v>69</v>
      </c>
      <c r="B29" t="s" s="167">
        <v>70</v>
      </c>
      <c r="C29" s="168"/>
      <c r="D29" s="168"/>
      <c r="E29" s="168"/>
      <c r="F29" s="168"/>
      <c r="G29" s="168"/>
      <c r="H29" s="168"/>
      <c r="I29" s="168"/>
      <c r="J29" s="169"/>
      <c r="K29" s="49"/>
      <c r="L29" t="s" s="170">
        <v>71</v>
      </c>
      <c r="M29" s="171"/>
      <c r="N29" s="171"/>
      <c r="O29" s="171"/>
      <c r="P29" s="171"/>
      <c r="Q29" s="171"/>
      <c r="R29" s="164"/>
      <c r="S29" s="165"/>
    </row>
    <row r="30" ht="23.25" customHeight="1">
      <c r="A30" t="s" s="135">
        <v>72</v>
      </c>
      <c r="B30" t="s" s="158">
        <v>73</v>
      </c>
      <c r="C30" s="159"/>
      <c r="D30" s="159"/>
      <c r="E30" s="159"/>
      <c r="F30" s="159"/>
      <c r="G30" s="159"/>
      <c r="H30" s="159"/>
      <c r="I30" s="159"/>
      <c r="J30" s="160"/>
      <c r="K30" s="49"/>
      <c r="L30" s="171"/>
      <c r="M30" s="171"/>
      <c r="N30" s="171"/>
      <c r="O30" s="171"/>
      <c r="P30" s="171"/>
      <c r="Q30" s="171"/>
      <c r="R30" s="164"/>
      <c r="S30" s="164"/>
    </row>
    <row r="31" ht="23.25" customHeight="1">
      <c r="A31" s="143"/>
      <c r="B31" s="108"/>
      <c r="C31" s="68"/>
      <c r="D31" s="68"/>
      <c r="E31" s="68"/>
      <c r="F31" s="68"/>
      <c r="G31" s="68"/>
      <c r="H31" s="68"/>
      <c r="I31" s="68"/>
      <c r="J31" s="69"/>
      <c r="K31" s="49"/>
      <c r="L31" s="171"/>
      <c r="M31" s="171"/>
      <c r="N31" s="171"/>
      <c r="O31" s="171"/>
      <c r="P31" s="171"/>
      <c r="Q31" s="171"/>
      <c r="R31" s="10"/>
      <c r="S31" s="142"/>
    </row>
    <row r="32" ht="23.25" customHeight="1">
      <c r="A32" s="143"/>
      <c r="B32" s="108"/>
      <c r="C32" s="68"/>
      <c r="D32" s="68"/>
      <c r="E32" s="68"/>
      <c r="F32" s="68"/>
      <c r="G32" s="68"/>
      <c r="H32" s="68"/>
      <c r="I32" s="68"/>
      <c r="J32" s="69"/>
      <c r="K32" s="49"/>
      <c r="L32" s="171"/>
      <c r="M32" s="171"/>
      <c r="N32" s="171"/>
      <c r="O32" s="171"/>
      <c r="P32" s="171"/>
      <c r="Q32" s="171"/>
      <c r="R32" s="10"/>
      <c r="S32" s="142"/>
    </row>
    <row r="33" ht="23.25" customHeight="1">
      <c r="A33" s="143"/>
      <c r="B33" s="108"/>
      <c r="C33" s="68"/>
      <c r="D33" s="68"/>
      <c r="E33" s="68"/>
      <c r="F33" s="68"/>
      <c r="G33" s="68"/>
      <c r="H33" s="68"/>
      <c r="I33" s="68"/>
      <c r="J33" s="69"/>
      <c r="K33" s="49"/>
      <c r="L33" s="172"/>
      <c r="M33" s="172"/>
      <c r="N33" s="172"/>
      <c r="O33" s="172"/>
      <c r="P33" s="172"/>
      <c r="Q33" s="10"/>
      <c r="R33" s="10"/>
      <c r="S33" s="142"/>
    </row>
    <row r="34" ht="23.25" customHeight="1">
      <c r="A34" s="143"/>
      <c r="B34" s="108"/>
      <c r="C34" s="68"/>
      <c r="D34" s="68"/>
      <c r="E34" s="68"/>
      <c r="F34" s="68"/>
      <c r="G34" s="68"/>
      <c r="H34" s="68"/>
      <c r="I34" s="68"/>
      <c r="J34" s="69"/>
      <c r="K34" s="173"/>
      <c r="L34" s="174"/>
      <c r="M34" s="174"/>
      <c r="N34" s="174"/>
      <c r="O34" s="174"/>
      <c r="P34" s="174"/>
      <c r="Q34" s="175"/>
      <c r="R34" s="10"/>
      <c r="S34" s="142"/>
    </row>
    <row r="35" ht="28.5" customHeight="1">
      <c r="A35" s="150"/>
      <c r="B35" s="74"/>
      <c r="C35" s="75"/>
      <c r="D35" s="75"/>
      <c r="E35" s="75"/>
      <c r="F35" s="75"/>
      <c r="G35" s="75"/>
      <c r="H35" s="75"/>
      <c r="I35" s="75"/>
      <c r="J35" s="76"/>
      <c r="K35" s="173"/>
      <c r="L35" s="176"/>
      <c r="M35" s="176"/>
      <c r="N35" s="176"/>
      <c r="O35" s="176"/>
      <c r="P35" s="176"/>
      <c r="Q35" s="177"/>
      <c r="R35" s="178"/>
      <c r="S35" s="142"/>
    </row>
    <row r="36" ht="21" customHeight="1">
      <c r="A36" t="s" s="135">
        <v>74</v>
      </c>
      <c r="B36" t="s" s="158">
        <v>124</v>
      </c>
      <c r="C36" s="159"/>
      <c r="D36" s="159"/>
      <c r="E36" s="159"/>
      <c r="F36" s="159"/>
      <c r="G36" s="159"/>
      <c r="H36" s="159"/>
      <c r="I36" s="159"/>
      <c r="J36" s="160"/>
      <c r="K36" s="173"/>
      <c r="L36" s="179"/>
      <c r="M36" s="179"/>
      <c r="N36" s="179"/>
      <c r="O36" s="179"/>
      <c r="P36" s="179"/>
      <c r="Q36" s="180"/>
      <c r="R36" s="181"/>
      <c r="S36" s="182"/>
    </row>
    <row r="37" ht="19.5" customHeight="1">
      <c r="A37" s="143"/>
      <c r="B37" s="108"/>
      <c r="C37" s="68"/>
      <c r="D37" s="68"/>
      <c r="E37" s="68"/>
      <c r="F37" s="68"/>
      <c r="G37" s="68"/>
      <c r="H37" s="68"/>
      <c r="I37" s="68"/>
      <c r="J37" s="69"/>
      <c r="K37" s="173"/>
      <c r="L37" s="183"/>
      <c r="M37" s="183"/>
      <c r="N37" s="183"/>
      <c r="O37" s="183"/>
      <c r="P37" s="183"/>
      <c r="Q37" s="184"/>
      <c r="R37" s="185"/>
      <c r="S37" s="182"/>
    </row>
    <row r="38" ht="19.5" customHeight="1">
      <c r="A38" s="143"/>
      <c r="B38" s="108"/>
      <c r="C38" s="68"/>
      <c r="D38" s="68"/>
      <c r="E38" s="68"/>
      <c r="F38" s="68"/>
      <c r="G38" s="68"/>
      <c r="H38" s="68"/>
      <c r="I38" s="68"/>
      <c r="J38" s="69"/>
      <c r="K38" s="173"/>
      <c r="L38" s="186"/>
      <c r="M38" s="186"/>
      <c r="N38" s="186"/>
      <c r="O38" s="186"/>
      <c r="P38" s="186"/>
      <c r="Q38" s="187"/>
      <c r="R38" s="188"/>
      <c r="S38" s="182"/>
    </row>
    <row r="39" ht="19.5" customHeight="1">
      <c r="A39" s="143"/>
      <c r="B39" s="108"/>
      <c r="C39" s="68"/>
      <c r="D39" s="68"/>
      <c r="E39" s="68"/>
      <c r="F39" s="68"/>
      <c r="G39" s="68"/>
      <c r="H39" s="68"/>
      <c r="I39" s="68"/>
      <c r="J39" s="69"/>
      <c r="K39" s="173"/>
      <c r="L39" s="186"/>
      <c r="M39" s="186"/>
      <c r="N39" s="186"/>
      <c r="O39" s="186"/>
      <c r="P39" s="186"/>
      <c r="Q39" s="187"/>
      <c r="R39" s="188"/>
      <c r="S39" s="182"/>
    </row>
    <row r="40" ht="19.5" customHeight="1">
      <c r="A40" s="150"/>
      <c r="B40" s="74"/>
      <c r="C40" s="75"/>
      <c r="D40" s="75"/>
      <c r="E40" s="75"/>
      <c r="F40" s="75"/>
      <c r="G40" s="75"/>
      <c r="H40" s="75"/>
      <c r="I40" s="75"/>
      <c r="J40" s="76"/>
      <c r="K40" s="173"/>
      <c r="L40" s="186"/>
      <c r="M40" s="186"/>
      <c r="N40" s="186"/>
      <c r="O40" s="186"/>
      <c r="P40" s="186"/>
      <c r="Q40" s="187"/>
      <c r="R40" s="188"/>
      <c r="S40" s="182"/>
    </row>
    <row r="41" ht="17.1" customHeight="1">
      <c r="A41" t="s" s="135">
        <v>76</v>
      </c>
      <c r="B41" t="s" s="167">
        <v>77</v>
      </c>
      <c r="C41" s="168"/>
      <c r="D41" s="168"/>
      <c r="E41" s="168"/>
      <c r="F41" s="168"/>
      <c r="G41" s="168"/>
      <c r="H41" s="168"/>
      <c r="I41" s="168"/>
      <c r="J41" s="169"/>
      <c r="K41" s="173"/>
      <c r="L41" s="186"/>
      <c r="M41" s="186"/>
      <c r="N41" s="186"/>
      <c r="O41" s="186"/>
      <c r="P41" s="186"/>
      <c r="Q41" s="187"/>
      <c r="R41" s="188"/>
      <c r="S41" s="182"/>
    </row>
    <row r="42" ht="19.5" customHeight="1">
      <c r="A42" s="143"/>
      <c r="B42" t="s" s="189">
        <v>78</v>
      </c>
      <c r="C42" s="190"/>
      <c r="D42" t="s" s="189">
        <v>79</v>
      </c>
      <c r="E42" s="190"/>
      <c r="F42" t="s" s="189">
        <v>80</v>
      </c>
      <c r="G42" s="190"/>
      <c r="H42" t="s" s="189">
        <v>81</v>
      </c>
      <c r="I42" s="190"/>
      <c r="J42" t="s" s="191">
        <v>82</v>
      </c>
      <c r="K42" s="192"/>
      <c r="L42" s="186"/>
      <c r="M42" s="186"/>
      <c r="N42" s="186"/>
      <c r="O42" s="186"/>
      <c r="P42" s="186"/>
      <c r="Q42" s="187"/>
      <c r="R42" s="188"/>
      <c r="S42" s="182"/>
    </row>
    <row r="43" ht="19.5" customHeight="1">
      <c r="A43" s="143"/>
      <c r="B43" t="s" s="193">
        <v>83</v>
      </c>
      <c r="C43" s="194"/>
      <c r="D43" t="s" s="193">
        <v>83</v>
      </c>
      <c r="E43" s="194"/>
      <c r="F43" t="s" s="193">
        <v>83</v>
      </c>
      <c r="G43" s="194"/>
      <c r="H43" t="s" s="193">
        <v>83</v>
      </c>
      <c r="I43" s="194"/>
      <c r="J43" t="s" s="195">
        <v>83</v>
      </c>
      <c r="K43" s="192"/>
      <c r="L43" s="186"/>
      <c r="M43" s="186"/>
      <c r="N43" s="186"/>
      <c r="O43" s="186"/>
      <c r="P43" s="186"/>
      <c r="Q43" s="187"/>
      <c r="R43" s="188"/>
      <c r="S43" s="182"/>
    </row>
    <row r="44" ht="19.5" customHeight="1">
      <c r="A44" s="150"/>
      <c r="B44" t="s" s="167">
        <v>125</v>
      </c>
      <c r="C44" s="168"/>
      <c r="D44" s="168"/>
      <c r="E44" s="168"/>
      <c r="F44" s="168"/>
      <c r="G44" s="168"/>
      <c r="H44" s="168"/>
      <c r="I44" s="168"/>
      <c r="J44" s="169"/>
      <c r="K44" s="173"/>
      <c r="L44" s="186"/>
      <c r="M44" s="186"/>
      <c r="N44" s="186"/>
      <c r="O44" s="186"/>
      <c r="P44" s="186"/>
      <c r="Q44" s="187"/>
      <c r="R44" s="188"/>
      <c r="S44" s="182"/>
    </row>
    <row r="45" ht="21" customHeight="1">
      <c r="A45" t="s" s="196">
        <v>85</v>
      </c>
      <c r="B45" t="s" s="197">
        <v>126</v>
      </c>
      <c r="C45" s="198"/>
      <c r="D45" s="198"/>
      <c r="E45" s="198"/>
      <c r="F45" s="198"/>
      <c r="G45" s="198"/>
      <c r="H45" s="198"/>
      <c r="I45" s="198"/>
      <c r="J45" s="199"/>
      <c r="K45" s="49"/>
      <c r="L45" s="200"/>
      <c r="M45" s="200"/>
      <c r="N45" s="200"/>
      <c r="O45" s="200"/>
      <c r="P45" s="200"/>
      <c r="Q45" s="10"/>
      <c r="R45" s="200"/>
      <c r="S45" s="142"/>
    </row>
    <row r="46" ht="19.5" customHeight="1">
      <c r="A46" t="s" s="201">
        <v>171</v>
      </c>
      <c r="B46" s="202"/>
      <c r="C46" s="202"/>
      <c r="D46" s="202"/>
      <c r="E46" s="202"/>
      <c r="F46" s="202"/>
      <c r="G46" s="202"/>
      <c r="H46" s="202"/>
      <c r="I46" s="202"/>
      <c r="J46" s="203"/>
      <c r="K46" s="49"/>
      <c r="L46" s="10"/>
      <c r="M46" s="10"/>
      <c r="N46" s="10"/>
      <c r="O46" s="10"/>
      <c r="P46" s="10"/>
      <c r="Q46" s="10"/>
      <c r="R46" s="10"/>
      <c r="S46" s="13"/>
    </row>
    <row r="47" ht="23.25" customHeight="1">
      <c r="A47" t="s" s="204">
        <v>88</v>
      </c>
      <c r="B47" s="205"/>
      <c r="C47" s="205"/>
      <c r="D47" s="205"/>
      <c r="E47" s="205"/>
      <c r="F47" t="s" s="206">
        <v>89</v>
      </c>
      <c r="G47" s="205"/>
      <c r="H47" s="205"/>
      <c r="I47" s="205"/>
      <c r="J47" s="207"/>
      <c r="K47" s="49"/>
      <c r="L47" s="10"/>
      <c r="M47" s="10"/>
      <c r="N47" s="10"/>
      <c r="O47" s="10"/>
      <c r="P47" s="10"/>
      <c r="Q47" s="10"/>
      <c r="R47" s="10"/>
      <c r="S47" s="161"/>
    </row>
    <row r="48" ht="23.25" customHeight="1">
      <c r="A48" t="s" s="208">
        <v>90</v>
      </c>
      <c r="B48" s="209"/>
      <c r="C48" t="s" s="210">
        <f>A4</f>
        <v>91</v>
      </c>
      <c r="D48" s="209"/>
      <c r="E48" s="209"/>
      <c r="F48" t="s" s="211">
        <v>92</v>
      </c>
      <c r="G48" t="s" s="243">
        <v>128</v>
      </c>
      <c r="H48" s="244"/>
      <c r="I48" s="244"/>
      <c r="J48" s="245"/>
      <c r="K48" s="49"/>
      <c r="L48" s="10"/>
      <c r="M48" s="10"/>
      <c r="N48" s="10"/>
      <c r="O48" s="10"/>
      <c r="P48" s="10"/>
      <c r="Q48" s="10"/>
      <c r="R48" s="10"/>
      <c r="S48" s="13"/>
    </row>
    <row r="49" ht="23.25" customHeight="1">
      <c r="A49" t="s" s="215">
        <v>94</v>
      </c>
      <c r="B49" s="216"/>
      <c r="C49" t="s" s="217">
        <v>95</v>
      </c>
      <c r="D49" s="216"/>
      <c r="E49" s="216"/>
      <c r="F49" t="s" s="246">
        <v>96</v>
      </c>
      <c r="G49" s="254"/>
      <c r="H49" s="254"/>
      <c r="I49" s="254"/>
      <c r="J49" s="255"/>
      <c r="K49" s="49"/>
      <c r="L49" s="10"/>
      <c r="M49" s="10"/>
      <c r="N49" s="10"/>
      <c r="O49" s="10"/>
      <c r="P49" s="10"/>
      <c r="Q49" s="10"/>
      <c r="R49" s="10"/>
      <c r="S49" s="13"/>
    </row>
    <row r="50" ht="23.25" customHeight="1">
      <c r="A50" t="s" s="215">
        <v>98</v>
      </c>
      <c r="B50" s="216"/>
      <c r="C50" s="216"/>
      <c r="D50" s="216"/>
      <c r="E50" s="216"/>
      <c r="F50" t="s" s="217">
        <v>99</v>
      </c>
      <c r="G50" s="254"/>
      <c r="H50" s="254"/>
      <c r="I50" s="254"/>
      <c r="J50" s="255"/>
      <c r="K50" s="49"/>
      <c r="L50" s="10"/>
      <c r="M50" s="10"/>
      <c r="N50" s="10"/>
      <c r="O50" s="10"/>
      <c r="P50" s="10"/>
      <c r="Q50" s="10"/>
      <c r="R50" s="10"/>
      <c r="S50" s="13"/>
    </row>
    <row r="51" ht="23.25" customHeight="1">
      <c r="A51" t="s" s="226">
        <v>101</v>
      </c>
      <c r="B51" s="227"/>
      <c r="C51" t="s" s="248">
        <v>83</v>
      </c>
      <c r="D51" s="249"/>
      <c r="E51" s="249"/>
      <c r="F51" t="s" s="250">
        <v>103</v>
      </c>
      <c r="G51" s="256"/>
      <c r="H51" s="256"/>
      <c r="I51" s="256"/>
      <c r="J51" s="257"/>
      <c r="K51" s="49"/>
      <c r="L51" s="10"/>
      <c r="M51" s="10"/>
      <c r="N51" s="10"/>
      <c r="O51" s="10"/>
      <c r="P51" s="10"/>
      <c r="Q51" s="10"/>
      <c r="R51" s="10"/>
      <c r="S51" s="1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conditionalFormatting sqref="M5:M6 O5:P5 E11 G11 H18:J18 C24:H24 P27 M28 L36:P44">
    <cfRule type="cellIs" dxfId="9" priority="1" operator="lessThan" stopIfTrue="1">
      <formula>0</formula>
    </cfRule>
  </conditionalFormatting>
  <pageMargins left="0.7" right="0.7" top="0.75" bottom="0.75" header="0.3" footer="0.3"/>
  <pageSetup firstPageNumber="1" fitToHeight="1" fitToWidth="1" scale="65" useFirstPageNumber="0" orientation="portrait" pageOrder="downThenOver"/>
  <headerFooter>
    <oddFooter>&amp;C&amp;"Helvetica Neue,Regular"&amp;12&amp;K000000&amp;P</oddFooter>
  </headerFooter>
  <drawing r:id="rId1"/>
  <legacyDrawing r:id="rId2"/>
</worksheet>
</file>

<file path=xl/worksheets/sheet12.xml><?xml version="1.0" encoding="utf-8"?>
<worksheet xmlns:r="http://schemas.openxmlformats.org/officeDocument/2006/relationships" xmlns="http://schemas.openxmlformats.org/spreadsheetml/2006/main">
  <dimension ref="A1:S51"/>
  <sheetViews>
    <sheetView workbookViewId="0" showGridLines="0" defaultGridColor="1"/>
  </sheetViews>
  <sheetFormatPr defaultColWidth="8.83333" defaultRowHeight="16.5" customHeight="1" outlineLevelRow="0" outlineLevelCol="0"/>
  <cols>
    <col min="1" max="1" width="10.3516" style="267" customWidth="1"/>
    <col min="2" max="2" width="12.5" style="267" customWidth="1"/>
    <col min="3" max="3" width="12.3516" style="267" customWidth="1"/>
    <col min="4" max="4" width="11.8516" style="267" customWidth="1"/>
    <col min="5" max="5" width="12.3516" style="267" customWidth="1"/>
    <col min="6" max="6" width="11" style="267" customWidth="1"/>
    <col min="7" max="7" width="15.6719" style="267" customWidth="1"/>
    <col min="8" max="8" width="9" style="267" customWidth="1"/>
    <col min="9" max="9" width="12.3516" style="267" customWidth="1"/>
    <col min="10" max="10" width="11.8516" style="267" customWidth="1"/>
    <col min="11" max="11" width="5.5" style="267" customWidth="1"/>
    <col min="12" max="16" width="11.6719" style="267" customWidth="1"/>
    <col min="17" max="17" width="14.3516" style="267" customWidth="1"/>
    <col min="18" max="18" width="10" style="267" customWidth="1"/>
    <col min="19" max="19" width="13" style="267" customWidth="1"/>
    <col min="20" max="16384" width="8.85156" style="267" customWidth="1"/>
  </cols>
  <sheetData>
    <row r="1" ht="14.25" customHeight="1">
      <c r="A1" t="s" s="7">
        <v>6</v>
      </c>
      <c r="B1" s="8"/>
      <c r="C1" s="8"/>
      <c r="D1" s="8"/>
      <c r="E1" s="8"/>
      <c r="F1" s="9"/>
      <c r="G1" s="9"/>
      <c r="H1" s="9"/>
      <c r="I1" s="9"/>
      <c r="J1" s="9"/>
      <c r="K1" s="10"/>
      <c r="L1" t="s" s="11">
        <v>7</v>
      </c>
      <c r="M1" s="12"/>
      <c r="N1" s="12"/>
      <c r="O1" s="12"/>
      <c r="P1" s="12"/>
      <c r="Q1" s="12"/>
      <c r="R1" s="10"/>
      <c r="S1" s="13"/>
    </row>
    <row r="2" ht="27" customHeight="1">
      <c r="A2" t="s" s="14">
        <v>8</v>
      </c>
      <c r="B2" s="15"/>
      <c r="C2" s="15"/>
      <c r="D2" s="15"/>
      <c r="E2" s="15"/>
      <c r="F2" s="15"/>
      <c r="G2" s="15"/>
      <c r="H2" s="15"/>
      <c r="I2" s="15"/>
      <c r="J2" s="15"/>
      <c r="K2" s="10"/>
      <c r="L2" s="12"/>
      <c r="M2" s="12"/>
      <c r="N2" s="12"/>
      <c r="O2" s="12"/>
      <c r="P2" s="12"/>
      <c r="Q2" s="12"/>
      <c r="R2" s="10"/>
      <c r="S2" s="13"/>
    </row>
    <row r="3" ht="8" customHeight="1">
      <c r="A3" s="16"/>
      <c r="B3" s="16"/>
      <c r="C3" s="16"/>
      <c r="D3" s="16"/>
      <c r="E3" s="16"/>
      <c r="F3" s="16"/>
      <c r="G3" s="16"/>
      <c r="H3" s="16"/>
      <c r="I3" s="16"/>
      <c r="J3" s="16"/>
      <c r="K3" s="17"/>
      <c r="L3" t="s" s="18">
        <v>9</v>
      </c>
      <c r="M3" s="19"/>
      <c r="N3" s="19"/>
      <c r="O3" s="19"/>
      <c r="P3" s="19"/>
      <c r="Q3" s="10"/>
      <c r="R3" s="10"/>
      <c r="S3" s="13"/>
    </row>
    <row r="4" ht="17.25" customHeight="1">
      <c r="A4" t="s" s="20">
        <v>10</v>
      </c>
      <c r="B4" s="21"/>
      <c r="C4" t="s" s="22">
        <v>11</v>
      </c>
      <c r="D4" s="23"/>
      <c r="E4" t="s" s="253">
        <v>118</v>
      </c>
      <c r="F4" t="s" s="22">
        <v>13</v>
      </c>
      <c r="G4" s="25"/>
      <c r="H4" s="25"/>
      <c r="I4" s="25"/>
      <c r="J4" s="26"/>
      <c r="K4" s="27"/>
      <c r="L4" s="19"/>
      <c r="M4" s="19"/>
      <c r="N4" s="19"/>
      <c r="O4" s="19"/>
      <c r="P4" s="19"/>
      <c r="Q4" s="10"/>
      <c r="R4" s="10"/>
      <c r="S4" s="13"/>
    </row>
    <row r="5" ht="15" customHeight="1">
      <c r="A5" t="s" s="28">
        <v>14</v>
      </c>
      <c r="B5" s="29"/>
      <c r="C5" s="30"/>
      <c r="D5" s="30"/>
      <c r="E5" s="29"/>
      <c r="F5" s="30"/>
      <c r="G5" s="30"/>
      <c r="H5" s="30"/>
      <c r="I5" s="30"/>
      <c r="J5" s="31"/>
      <c r="K5" s="27"/>
      <c r="L5" t="s" s="32">
        <v>9</v>
      </c>
      <c r="M5" s="33"/>
      <c r="N5" s="34"/>
      <c r="O5" s="33"/>
      <c r="P5" s="33"/>
      <c r="Q5" s="35"/>
      <c r="R5" s="10"/>
      <c r="S5" s="13"/>
    </row>
    <row r="6" ht="21.75" customHeight="1">
      <c r="A6" t="s" s="36">
        <v>15</v>
      </c>
      <c r="B6" t="s" s="37">
        <v>9</v>
      </c>
      <c r="C6" s="38"/>
      <c r="D6" s="38"/>
      <c r="E6" s="39"/>
      <c r="F6" t="s" s="40">
        <v>17</v>
      </c>
      <c r="G6" s="41"/>
      <c r="H6" s="237"/>
      <c r="I6" s="38"/>
      <c r="J6" s="42"/>
      <c r="K6" s="43"/>
      <c r="L6" t="s" s="44">
        <v>19</v>
      </c>
      <c r="M6" s="45"/>
      <c r="N6" t="s" s="46">
        <v>20</v>
      </c>
      <c r="O6" s="47">
        <v>8</v>
      </c>
      <c r="P6" t="s" s="46">
        <v>21</v>
      </c>
      <c r="Q6" s="48">
        <v>6</v>
      </c>
      <c r="R6" s="49"/>
      <c r="S6" s="13"/>
    </row>
    <row r="7" ht="21.75" customHeight="1">
      <c r="A7" t="s" s="50">
        <v>22</v>
      </c>
      <c r="B7" s="51"/>
      <c r="C7" s="51"/>
      <c r="D7" s="51"/>
      <c r="E7" s="51"/>
      <c r="F7" t="s" s="52">
        <v>23</v>
      </c>
      <c r="G7" s="53"/>
      <c r="H7" t="s" s="238">
        <v>9</v>
      </c>
      <c r="I7" s="51"/>
      <c r="J7" s="54"/>
      <c r="K7" s="49"/>
      <c r="L7" s="55"/>
      <c r="M7" s="55"/>
      <c r="N7" s="55"/>
      <c r="O7" s="55"/>
      <c r="P7" s="55"/>
      <c r="Q7" s="56"/>
      <c r="R7" s="10"/>
      <c r="S7" s="13"/>
    </row>
    <row r="8" ht="18" customHeight="1">
      <c r="A8" t="s" s="57">
        <v>24</v>
      </c>
      <c r="B8" t="s" s="58">
        <v>173</v>
      </c>
      <c r="C8" s="59"/>
      <c r="D8" t="s" s="60">
        <v>174</v>
      </c>
      <c r="E8" s="59"/>
      <c r="F8" t="s" s="61">
        <v>27</v>
      </c>
      <c r="G8" t="s" s="62">
        <v>28</v>
      </c>
      <c r="H8" s="63"/>
      <c r="I8" s="63"/>
      <c r="J8" s="64"/>
      <c r="K8" s="49"/>
      <c r="L8" s="34"/>
      <c r="M8" s="34"/>
      <c r="N8" s="34"/>
      <c r="O8" s="34"/>
      <c r="P8" s="34"/>
      <c r="Q8" s="35"/>
      <c r="R8" s="10"/>
      <c r="S8" s="13"/>
    </row>
    <row r="9" ht="12" customHeight="1">
      <c r="A9" s="65"/>
      <c r="B9" t="s" s="66">
        <v>29</v>
      </c>
      <c r="C9" s="67"/>
      <c r="D9" s="67"/>
      <c r="E9" s="67"/>
      <c r="F9" s="68"/>
      <c r="G9" s="68"/>
      <c r="H9" s="68"/>
      <c r="I9" s="68"/>
      <c r="J9" s="69"/>
      <c r="K9" s="43"/>
      <c r="L9" t="s" s="70">
        <v>30</v>
      </c>
      <c r="M9" t="s" s="71">
        <v>31</v>
      </c>
      <c r="N9" t="s" s="71">
        <v>32</v>
      </c>
      <c r="O9" t="s" s="71">
        <v>33</v>
      </c>
      <c r="P9" t="s" s="71">
        <v>34</v>
      </c>
      <c r="Q9" t="s" s="72">
        <v>35</v>
      </c>
      <c r="R9" s="49"/>
      <c r="S9" s="13"/>
    </row>
    <row r="10" ht="30" customHeight="1">
      <c r="A10" s="73"/>
      <c r="B10" s="74"/>
      <c r="C10" s="75"/>
      <c r="D10" s="75"/>
      <c r="E10" s="75"/>
      <c r="F10" s="75"/>
      <c r="G10" s="75"/>
      <c r="H10" s="75"/>
      <c r="I10" s="75"/>
      <c r="J10" s="76"/>
      <c r="K10" t="s" s="77">
        <v>9</v>
      </c>
      <c r="L10" t="s" s="78">
        <v>36</v>
      </c>
      <c r="M10" s="79">
        <v>48</v>
      </c>
      <c r="N10" s="80">
        <v>1</v>
      </c>
      <c r="O10" s="81">
        <v>4.34</v>
      </c>
      <c r="P10" s="82">
        <f>M10*O10</f>
        <v>208.32</v>
      </c>
      <c r="Q10" s="83">
        <f>P10/P15</f>
        <v>0.730066165750813</v>
      </c>
      <c r="R10" s="49"/>
      <c r="S10" s="13"/>
    </row>
    <row r="11" ht="19.5" customHeight="1">
      <c r="A11" t="s" s="57">
        <v>37</v>
      </c>
      <c r="B11" t="s" s="84">
        <v>38</v>
      </c>
      <c r="C11" s="85"/>
      <c r="D11" s="86"/>
      <c r="E11" s="87">
        <f>D24</f>
        <v>73280.0000000002</v>
      </c>
      <c r="F11" t="s" s="88">
        <v>39</v>
      </c>
      <c r="G11" s="89">
        <f>E11/8</f>
        <v>9160.000000000029</v>
      </c>
      <c r="H11" t="s" s="90">
        <v>40</v>
      </c>
      <c r="I11" s="91"/>
      <c r="J11" s="92"/>
      <c r="K11" s="43"/>
      <c r="L11" t="s" s="78">
        <v>41</v>
      </c>
      <c r="M11" s="79">
        <v>9.6</v>
      </c>
      <c r="N11" s="80">
        <v>1</v>
      </c>
      <c r="O11" s="81">
        <v>4.34</v>
      </c>
      <c r="P11" s="82">
        <f>M11*O11</f>
        <v>41.664</v>
      </c>
      <c r="Q11" s="83">
        <f>P11/P15</f>
        <v>0.146013233150163</v>
      </c>
      <c r="R11" s="49"/>
      <c r="S11" s="13"/>
    </row>
    <row r="12" ht="17.25" customHeight="1">
      <c r="A12" s="65"/>
      <c r="B12" t="s" s="93">
        <v>42</v>
      </c>
      <c r="C12" s="94"/>
      <c r="D12" s="94"/>
      <c r="E12" s="95"/>
      <c r="F12" s="94"/>
      <c r="G12" s="95"/>
      <c r="H12" s="94"/>
      <c r="I12" s="94"/>
      <c r="J12" s="96"/>
      <c r="K12" s="43"/>
      <c r="L12" t="s" s="78">
        <v>43</v>
      </c>
      <c r="M12" s="79">
        <v>12</v>
      </c>
      <c r="N12" s="80">
        <v>1</v>
      </c>
      <c r="O12" s="81">
        <v>0</v>
      </c>
      <c r="P12" s="82">
        <f>M12*N12*O12</f>
        <v>0</v>
      </c>
      <c r="Q12" s="83">
        <f>P12/P15</f>
        <v>0</v>
      </c>
      <c r="R12" s="98"/>
      <c r="S12" s="99"/>
    </row>
    <row r="13" ht="17.25" customHeight="1">
      <c r="A13" s="65"/>
      <c r="B13" s="100"/>
      <c r="C13" s="94"/>
      <c r="D13" s="94"/>
      <c r="E13" s="94"/>
      <c r="F13" s="94"/>
      <c r="G13" s="94"/>
      <c r="H13" s="94"/>
      <c r="I13" s="94"/>
      <c r="J13" s="96"/>
      <c r="K13" s="43"/>
      <c r="L13" t="s" s="78">
        <v>44</v>
      </c>
      <c r="M13" s="79">
        <v>8</v>
      </c>
      <c r="N13" s="80">
        <v>0.5</v>
      </c>
      <c r="O13" s="81">
        <v>4.34</v>
      </c>
      <c r="P13" s="82">
        <f>M13*N13*O13</f>
        <v>17.36</v>
      </c>
      <c r="Q13" s="101">
        <f>P13/P15</f>
        <v>0.0608388471459011</v>
      </c>
      <c r="R13" s="49"/>
      <c r="S13" s="13"/>
    </row>
    <row r="14" ht="17.25" customHeight="1">
      <c r="A14" s="65"/>
      <c r="B14" s="100"/>
      <c r="C14" s="94"/>
      <c r="D14" s="94"/>
      <c r="E14" s="94"/>
      <c r="F14" s="94"/>
      <c r="G14" s="94"/>
      <c r="H14" s="94"/>
      <c r="I14" s="94"/>
      <c r="J14" s="96"/>
      <c r="K14" s="43"/>
      <c r="L14" t="s" s="78">
        <v>45</v>
      </c>
      <c r="M14" s="81">
        <v>0</v>
      </c>
      <c r="N14" s="80"/>
      <c r="O14" s="81">
        <v>0</v>
      </c>
      <c r="P14" s="82">
        <v>18</v>
      </c>
      <c r="Q14" s="101">
        <f>P14/P15</f>
        <v>0.0630817539531232</v>
      </c>
      <c r="R14" s="49"/>
      <c r="S14" s="13"/>
    </row>
    <row r="15" ht="13.5" customHeight="1">
      <c r="A15" s="65"/>
      <c r="B15" t="s" s="102">
        <v>46</v>
      </c>
      <c r="C15" s="68"/>
      <c r="D15" s="68"/>
      <c r="E15" s="68"/>
      <c r="F15" s="68"/>
      <c r="G15" s="68"/>
      <c r="H15" s="68"/>
      <c r="I15" s="68"/>
      <c r="J15" s="69"/>
      <c r="K15" s="43"/>
      <c r="L15" t="s" s="103">
        <v>47</v>
      </c>
      <c r="M15" s="104"/>
      <c r="N15" s="104"/>
      <c r="O15" s="105">
        <v>0</v>
      </c>
      <c r="P15" s="106">
        <f>SUM(P10:P14)</f>
        <v>285.344</v>
      </c>
      <c r="Q15" s="107">
        <f>SUM(Q10:Q14)</f>
        <v>1</v>
      </c>
      <c r="R15" s="49"/>
      <c r="S15" s="13"/>
    </row>
    <row r="16" ht="13.5" customHeight="1">
      <c r="A16" s="65"/>
      <c r="B16" s="108"/>
      <c r="C16" s="68"/>
      <c r="D16" s="68"/>
      <c r="E16" s="68"/>
      <c r="F16" s="68"/>
      <c r="G16" s="68"/>
      <c r="H16" s="68"/>
      <c r="I16" s="68"/>
      <c r="J16" s="69"/>
      <c r="K16" s="49"/>
      <c r="L16" s="56"/>
      <c r="M16" s="56"/>
      <c r="N16" s="56"/>
      <c r="O16" s="56"/>
      <c r="P16" s="56"/>
      <c r="Q16" s="56"/>
      <c r="R16" s="10"/>
      <c r="S16" s="13"/>
    </row>
    <row r="17" ht="21" customHeight="1">
      <c r="A17" s="65"/>
      <c r="B17" t="s" s="102">
        <v>48</v>
      </c>
      <c r="C17" s="68"/>
      <c r="D17" s="68"/>
      <c r="E17" s="68"/>
      <c r="F17" s="68"/>
      <c r="G17" s="109"/>
      <c r="H17" s="109"/>
      <c r="I17" s="109"/>
      <c r="J17" s="110"/>
      <c r="K17" s="49"/>
      <c r="L17" s="111"/>
      <c r="M17" s="112"/>
      <c r="N17" t="s" s="113">
        <v>49</v>
      </c>
      <c r="O17" s="114"/>
      <c r="P17" s="114"/>
      <c r="Q17" s="115">
        <v>9620</v>
      </c>
      <c r="R17" s="10"/>
      <c r="S17" s="13"/>
    </row>
    <row r="18" ht="15.75" customHeight="1">
      <c r="A18" s="65"/>
      <c r="B18" t="s" s="116">
        <v>108</v>
      </c>
      <c r="C18" s="117"/>
      <c r="D18" s="117"/>
      <c r="E18" s="117"/>
      <c r="F18" s="118"/>
      <c r="G18" s="119">
        <v>100374.46390169</v>
      </c>
      <c r="H18" t="s" s="120">
        <v>51</v>
      </c>
      <c r="I18" s="121"/>
      <c r="J18" s="122"/>
      <c r="K18" s="49"/>
      <c r="L18" s="111"/>
      <c r="M18" s="112"/>
      <c r="N18" s="10"/>
      <c r="O18" s="10"/>
      <c r="P18" s="123"/>
      <c r="Q18" s="10"/>
      <c r="R18" s="10"/>
      <c r="S18" s="13"/>
    </row>
    <row r="19" ht="15.75" customHeight="1">
      <c r="A19" s="65"/>
      <c r="B19" t="s" s="124">
        <v>121</v>
      </c>
      <c r="C19" s="125"/>
      <c r="D19" s="125"/>
      <c r="E19" s="125"/>
      <c r="F19" s="125"/>
      <c r="G19" s="126"/>
      <c r="H19" s="126"/>
      <c r="I19" s="126"/>
      <c r="J19" s="127"/>
      <c r="K19" s="49"/>
      <c r="L19" t="s" s="128">
        <v>53</v>
      </c>
      <c r="M19" s="129"/>
      <c r="N19" s="129"/>
      <c r="O19" s="129"/>
      <c r="P19" s="129"/>
      <c r="Q19" s="130"/>
      <c r="R19" s="10"/>
      <c r="S19" s="13"/>
    </row>
    <row r="20" ht="15.75" customHeight="1">
      <c r="A20" s="65"/>
      <c r="B20" t="s" s="124">
        <v>54</v>
      </c>
      <c r="C20" s="125"/>
      <c r="D20" s="125"/>
      <c r="E20" s="125"/>
      <c r="F20" s="125"/>
      <c r="G20" s="125"/>
      <c r="H20" s="125"/>
      <c r="I20" s="125"/>
      <c r="J20" s="131"/>
      <c r="K20" s="49"/>
      <c r="L20" t="s" s="128">
        <v>55</v>
      </c>
      <c r="M20" s="129"/>
      <c r="N20" s="129"/>
      <c r="O20" s="129"/>
      <c r="P20" s="129"/>
      <c r="Q20" s="130"/>
      <c r="R20" s="10"/>
      <c r="S20" s="13"/>
    </row>
    <row r="21" ht="15.75" customHeight="1">
      <c r="A21" s="73"/>
      <c r="B21" t="s" s="132">
        <v>122</v>
      </c>
      <c r="C21" s="133"/>
      <c r="D21" s="133"/>
      <c r="E21" s="133"/>
      <c r="F21" s="133"/>
      <c r="G21" s="133"/>
      <c r="H21" s="133"/>
      <c r="I21" s="133"/>
      <c r="J21" s="134"/>
      <c r="K21" s="49"/>
      <c r="L21" t="s" s="128">
        <v>57</v>
      </c>
      <c r="M21" s="129"/>
      <c r="N21" s="129"/>
      <c r="O21" s="129"/>
      <c r="P21" s="129"/>
      <c r="Q21" s="130"/>
      <c r="R21" s="10"/>
      <c r="S21" s="13"/>
    </row>
    <row r="22" ht="18.75" customHeight="1">
      <c r="A22" t="s" s="135">
        <v>58</v>
      </c>
      <c r="B22" t="s" s="136">
        <v>59</v>
      </c>
      <c r="C22" s="137"/>
      <c r="D22" t="s" s="138">
        <v>36</v>
      </c>
      <c r="E22" t="s" s="138">
        <v>60</v>
      </c>
      <c r="F22" t="s" s="138">
        <v>43</v>
      </c>
      <c r="G22" t="s" s="139">
        <v>61</v>
      </c>
      <c r="H22" s="140"/>
      <c r="I22" t="s" s="139">
        <v>45</v>
      </c>
      <c r="J22" s="141"/>
      <c r="K22" s="49"/>
      <c r="L22" t="s" s="128">
        <v>62</v>
      </c>
      <c r="M22" s="129"/>
      <c r="N22" s="129"/>
      <c r="O22" s="129"/>
      <c r="P22" s="129"/>
      <c r="Q22" s="130"/>
      <c r="R22" s="129"/>
      <c r="S22" s="142"/>
    </row>
    <row r="23" ht="18.75" customHeight="1">
      <c r="A23" s="143"/>
      <c r="B23" t="s" s="144">
        <v>63</v>
      </c>
      <c r="C23" s="145"/>
      <c r="D23" s="146">
        <f>Q10</f>
        <v>0.730066165750813</v>
      </c>
      <c r="E23" s="146">
        <f>Q11</f>
        <v>0.146013233150163</v>
      </c>
      <c r="F23" s="146">
        <f>Q12</f>
        <v>0</v>
      </c>
      <c r="G23" s="147">
        <f>Q13</f>
        <v>0.0608388471459011</v>
      </c>
      <c r="H23" s="148"/>
      <c r="I23" s="147">
        <f>Q14</f>
        <v>0.0630817539531232</v>
      </c>
      <c r="J23" s="149"/>
      <c r="K23" s="49"/>
      <c r="L23" s="129"/>
      <c r="M23" s="129"/>
      <c r="N23" s="129"/>
      <c r="O23" s="129"/>
      <c r="P23" s="129"/>
      <c r="Q23" s="129"/>
      <c r="R23" s="129"/>
      <c r="S23" s="142"/>
    </row>
    <row r="24" ht="18.75" customHeight="1">
      <c r="A24" s="150"/>
      <c r="B24" t="s" s="151">
        <v>64</v>
      </c>
      <c r="C24" s="152">
        <f>G11</f>
        <v>9160.000000000029</v>
      </c>
      <c r="D24" s="153">
        <f>G18*$D$23</f>
        <v>73280.0000000002</v>
      </c>
      <c r="E24" s="153">
        <f>G18*$E$23</f>
        <v>14656.0000000001</v>
      </c>
      <c r="F24" s="153">
        <f>G18*$F$23</f>
        <v>0</v>
      </c>
      <c r="G24" s="154">
        <f>G18*$G$23</f>
        <v>6106.666666666690</v>
      </c>
      <c r="H24" s="155"/>
      <c r="I24" s="156">
        <f>G18*$I$23</f>
        <v>6331.797235023060</v>
      </c>
      <c r="J24" s="157"/>
      <c r="K24" s="49"/>
      <c r="L24" s="129"/>
      <c r="M24" s="129"/>
      <c r="N24" s="129"/>
      <c r="O24" s="129"/>
      <c r="P24" s="129"/>
      <c r="Q24" s="129"/>
      <c r="R24" s="129"/>
      <c r="S24" s="142"/>
    </row>
    <row r="25" ht="54.75" customHeight="1">
      <c r="A25" t="s" s="135">
        <v>65</v>
      </c>
      <c r="B25" t="s" s="158">
        <v>123</v>
      </c>
      <c r="C25" s="159"/>
      <c r="D25" s="159"/>
      <c r="E25" s="159"/>
      <c r="F25" s="159"/>
      <c r="G25" s="159"/>
      <c r="H25" s="159"/>
      <c r="I25" s="159"/>
      <c r="J25" s="160"/>
      <c r="K25" s="49"/>
      <c r="L25" t="s" s="128">
        <v>9</v>
      </c>
      <c r="M25" s="129"/>
      <c r="N25" s="129"/>
      <c r="O25" s="129"/>
      <c r="P25" s="129"/>
      <c r="Q25" s="130"/>
      <c r="R25" s="10"/>
      <c r="S25" s="142"/>
    </row>
    <row r="26" ht="66.75" customHeight="1">
      <c r="A26" s="73"/>
      <c r="B26" s="74"/>
      <c r="C26" s="75"/>
      <c r="D26" s="75"/>
      <c r="E26" s="75"/>
      <c r="F26" s="75"/>
      <c r="G26" s="75"/>
      <c r="H26" s="75"/>
      <c r="I26" s="75"/>
      <c r="J26" s="76"/>
      <c r="K26" s="49"/>
      <c r="L26" t="s" s="128">
        <v>9</v>
      </c>
      <c r="M26" s="129"/>
      <c r="N26" s="129"/>
      <c r="O26" s="129"/>
      <c r="P26" s="129"/>
      <c r="Q26" s="130"/>
      <c r="R26" s="10"/>
      <c r="S26" s="142"/>
    </row>
    <row r="27" ht="27.75" customHeight="1">
      <c r="A27" t="s" s="57">
        <v>67</v>
      </c>
      <c r="B27" t="s" s="158">
        <v>68</v>
      </c>
      <c r="C27" s="159"/>
      <c r="D27" s="159"/>
      <c r="E27" s="159"/>
      <c r="F27" s="159"/>
      <c r="G27" s="159"/>
      <c r="H27" s="159"/>
      <c r="I27" s="159"/>
      <c r="J27" s="160"/>
      <c r="K27" s="49"/>
      <c r="L27" s="161">
        <f>C24*8</f>
        <v>73280.0000000002</v>
      </c>
      <c r="M27" s="162">
        <f>E24*5</f>
        <v>73280.000000000495</v>
      </c>
      <c r="N27" s="129"/>
      <c r="O27" s="162"/>
      <c r="P27" s="163"/>
      <c r="Q27" s="162"/>
      <c r="R27" s="164"/>
      <c r="S27" s="165"/>
    </row>
    <row r="28" ht="27.75" customHeight="1">
      <c r="A28" s="73"/>
      <c r="B28" s="74"/>
      <c r="C28" s="75"/>
      <c r="D28" s="75"/>
      <c r="E28" s="75"/>
      <c r="F28" s="75"/>
      <c r="G28" s="75"/>
      <c r="H28" s="75"/>
      <c r="I28" s="75"/>
      <c r="J28" s="76"/>
      <c r="K28" s="49"/>
      <c r="L28" s="161"/>
      <c r="M28" s="163"/>
      <c r="N28" s="10"/>
      <c r="O28" s="10"/>
      <c r="P28" s="10"/>
      <c r="Q28" s="10"/>
      <c r="R28" s="164"/>
      <c r="S28" s="165"/>
    </row>
    <row r="29" ht="40.5" customHeight="1">
      <c r="A29" t="s" s="166">
        <v>69</v>
      </c>
      <c r="B29" t="s" s="167">
        <v>70</v>
      </c>
      <c r="C29" s="168"/>
      <c r="D29" s="168"/>
      <c r="E29" s="168"/>
      <c r="F29" s="168"/>
      <c r="G29" s="168"/>
      <c r="H29" s="168"/>
      <c r="I29" s="168"/>
      <c r="J29" s="169"/>
      <c r="K29" s="49"/>
      <c r="L29" t="s" s="170">
        <v>71</v>
      </c>
      <c r="M29" s="171"/>
      <c r="N29" s="171"/>
      <c r="O29" s="171"/>
      <c r="P29" s="171"/>
      <c r="Q29" s="171"/>
      <c r="R29" s="164"/>
      <c r="S29" s="165"/>
    </row>
    <row r="30" ht="23.25" customHeight="1">
      <c r="A30" t="s" s="135">
        <v>72</v>
      </c>
      <c r="B30" t="s" s="158">
        <v>73</v>
      </c>
      <c r="C30" s="159"/>
      <c r="D30" s="159"/>
      <c r="E30" s="159"/>
      <c r="F30" s="159"/>
      <c r="G30" s="159"/>
      <c r="H30" s="159"/>
      <c r="I30" s="159"/>
      <c r="J30" s="160"/>
      <c r="K30" s="49"/>
      <c r="L30" s="171"/>
      <c r="M30" s="171"/>
      <c r="N30" s="171"/>
      <c r="O30" s="171"/>
      <c r="P30" s="171"/>
      <c r="Q30" s="171"/>
      <c r="R30" s="164"/>
      <c r="S30" s="164"/>
    </row>
    <row r="31" ht="23.25" customHeight="1">
      <c r="A31" s="143"/>
      <c r="B31" s="108"/>
      <c r="C31" s="68"/>
      <c r="D31" s="68"/>
      <c r="E31" s="68"/>
      <c r="F31" s="68"/>
      <c r="G31" s="68"/>
      <c r="H31" s="68"/>
      <c r="I31" s="68"/>
      <c r="J31" s="69"/>
      <c r="K31" s="49"/>
      <c r="L31" s="171"/>
      <c r="M31" s="171"/>
      <c r="N31" s="171"/>
      <c r="O31" s="171"/>
      <c r="P31" s="171"/>
      <c r="Q31" s="171"/>
      <c r="R31" s="10"/>
      <c r="S31" s="142"/>
    </row>
    <row r="32" ht="23.25" customHeight="1">
      <c r="A32" s="143"/>
      <c r="B32" s="108"/>
      <c r="C32" s="68"/>
      <c r="D32" s="68"/>
      <c r="E32" s="68"/>
      <c r="F32" s="68"/>
      <c r="G32" s="68"/>
      <c r="H32" s="68"/>
      <c r="I32" s="68"/>
      <c r="J32" s="69"/>
      <c r="K32" s="49"/>
      <c r="L32" s="171"/>
      <c r="M32" s="171"/>
      <c r="N32" s="171"/>
      <c r="O32" s="171"/>
      <c r="P32" s="171"/>
      <c r="Q32" s="171"/>
      <c r="R32" s="10"/>
      <c r="S32" s="142"/>
    </row>
    <row r="33" ht="23.25" customHeight="1">
      <c r="A33" s="143"/>
      <c r="B33" s="108"/>
      <c r="C33" s="68"/>
      <c r="D33" s="68"/>
      <c r="E33" s="68"/>
      <c r="F33" s="68"/>
      <c r="G33" s="68"/>
      <c r="H33" s="68"/>
      <c r="I33" s="68"/>
      <c r="J33" s="69"/>
      <c r="K33" s="49"/>
      <c r="L33" s="172"/>
      <c r="M33" s="172"/>
      <c r="N33" s="172"/>
      <c r="O33" s="172"/>
      <c r="P33" s="172"/>
      <c r="Q33" s="10"/>
      <c r="R33" s="10"/>
      <c r="S33" s="142"/>
    </row>
    <row r="34" ht="23.25" customHeight="1">
      <c r="A34" s="143"/>
      <c r="B34" s="108"/>
      <c r="C34" s="68"/>
      <c r="D34" s="68"/>
      <c r="E34" s="68"/>
      <c r="F34" s="68"/>
      <c r="G34" s="68"/>
      <c r="H34" s="68"/>
      <c r="I34" s="68"/>
      <c r="J34" s="69"/>
      <c r="K34" s="173"/>
      <c r="L34" s="174"/>
      <c r="M34" s="174"/>
      <c r="N34" s="174"/>
      <c r="O34" s="174"/>
      <c r="P34" s="174"/>
      <c r="Q34" s="175"/>
      <c r="R34" s="10"/>
      <c r="S34" s="142"/>
    </row>
    <row r="35" ht="28.5" customHeight="1">
      <c r="A35" s="150"/>
      <c r="B35" s="74"/>
      <c r="C35" s="75"/>
      <c r="D35" s="75"/>
      <c r="E35" s="75"/>
      <c r="F35" s="75"/>
      <c r="G35" s="75"/>
      <c r="H35" s="75"/>
      <c r="I35" s="75"/>
      <c r="J35" s="76"/>
      <c r="K35" s="173"/>
      <c r="L35" s="176"/>
      <c r="M35" s="176"/>
      <c r="N35" s="176"/>
      <c r="O35" s="176"/>
      <c r="P35" s="176"/>
      <c r="Q35" s="177"/>
      <c r="R35" s="178"/>
      <c r="S35" s="142"/>
    </row>
    <row r="36" ht="21" customHeight="1">
      <c r="A36" t="s" s="135">
        <v>74</v>
      </c>
      <c r="B36" t="s" s="158">
        <v>124</v>
      </c>
      <c r="C36" s="159"/>
      <c r="D36" s="159"/>
      <c r="E36" s="159"/>
      <c r="F36" s="159"/>
      <c r="G36" s="159"/>
      <c r="H36" s="159"/>
      <c r="I36" s="159"/>
      <c r="J36" s="160"/>
      <c r="K36" s="173"/>
      <c r="L36" s="179"/>
      <c r="M36" s="179"/>
      <c r="N36" s="179"/>
      <c r="O36" s="179"/>
      <c r="P36" s="179"/>
      <c r="Q36" s="180"/>
      <c r="R36" s="181"/>
      <c r="S36" s="182"/>
    </row>
    <row r="37" ht="19.5" customHeight="1">
      <c r="A37" s="143"/>
      <c r="B37" s="108"/>
      <c r="C37" s="68"/>
      <c r="D37" s="68"/>
      <c r="E37" s="68"/>
      <c r="F37" s="68"/>
      <c r="G37" s="68"/>
      <c r="H37" s="68"/>
      <c r="I37" s="68"/>
      <c r="J37" s="69"/>
      <c r="K37" s="173"/>
      <c r="L37" s="183"/>
      <c r="M37" s="183"/>
      <c r="N37" s="183"/>
      <c r="O37" s="183"/>
      <c r="P37" s="183"/>
      <c r="Q37" s="184"/>
      <c r="R37" s="185"/>
      <c r="S37" s="182"/>
    </row>
    <row r="38" ht="19.5" customHeight="1">
      <c r="A38" s="143"/>
      <c r="B38" s="108"/>
      <c r="C38" s="68"/>
      <c r="D38" s="68"/>
      <c r="E38" s="68"/>
      <c r="F38" s="68"/>
      <c r="G38" s="68"/>
      <c r="H38" s="68"/>
      <c r="I38" s="68"/>
      <c r="J38" s="69"/>
      <c r="K38" s="173"/>
      <c r="L38" s="186"/>
      <c r="M38" s="186"/>
      <c r="N38" s="186"/>
      <c r="O38" s="186"/>
      <c r="P38" s="186"/>
      <c r="Q38" s="187"/>
      <c r="R38" s="188"/>
      <c r="S38" s="182"/>
    </row>
    <row r="39" ht="19.5" customHeight="1">
      <c r="A39" s="143"/>
      <c r="B39" s="108"/>
      <c r="C39" s="68"/>
      <c r="D39" s="68"/>
      <c r="E39" s="68"/>
      <c r="F39" s="68"/>
      <c r="G39" s="68"/>
      <c r="H39" s="68"/>
      <c r="I39" s="68"/>
      <c r="J39" s="69"/>
      <c r="K39" s="173"/>
      <c r="L39" s="186"/>
      <c r="M39" s="186"/>
      <c r="N39" s="186"/>
      <c r="O39" s="186"/>
      <c r="P39" s="186"/>
      <c r="Q39" s="187"/>
      <c r="R39" s="188"/>
      <c r="S39" s="182"/>
    </row>
    <row r="40" ht="19.5" customHeight="1">
      <c r="A40" s="150"/>
      <c r="B40" s="74"/>
      <c r="C40" s="75"/>
      <c r="D40" s="75"/>
      <c r="E40" s="75"/>
      <c r="F40" s="75"/>
      <c r="G40" s="75"/>
      <c r="H40" s="75"/>
      <c r="I40" s="75"/>
      <c r="J40" s="76"/>
      <c r="K40" s="173"/>
      <c r="L40" s="186"/>
      <c r="M40" s="186"/>
      <c r="N40" s="186"/>
      <c r="O40" s="186"/>
      <c r="P40" s="186"/>
      <c r="Q40" s="187"/>
      <c r="R40" s="188"/>
      <c r="S40" s="182"/>
    </row>
    <row r="41" ht="17.1" customHeight="1">
      <c r="A41" t="s" s="135">
        <v>76</v>
      </c>
      <c r="B41" t="s" s="167">
        <v>77</v>
      </c>
      <c r="C41" s="168"/>
      <c r="D41" s="168"/>
      <c r="E41" s="168"/>
      <c r="F41" s="168"/>
      <c r="G41" s="168"/>
      <c r="H41" s="168"/>
      <c r="I41" s="168"/>
      <c r="J41" s="169"/>
      <c r="K41" s="173"/>
      <c r="L41" s="186"/>
      <c r="M41" s="186"/>
      <c r="N41" s="186"/>
      <c r="O41" s="186"/>
      <c r="P41" s="186"/>
      <c r="Q41" s="187"/>
      <c r="R41" s="188"/>
      <c r="S41" s="182"/>
    </row>
    <row r="42" ht="19.5" customHeight="1">
      <c r="A42" s="143"/>
      <c r="B42" t="s" s="189">
        <v>78</v>
      </c>
      <c r="C42" s="190"/>
      <c r="D42" t="s" s="189">
        <v>79</v>
      </c>
      <c r="E42" s="190"/>
      <c r="F42" t="s" s="189">
        <v>80</v>
      </c>
      <c r="G42" s="190"/>
      <c r="H42" t="s" s="189">
        <v>81</v>
      </c>
      <c r="I42" s="190"/>
      <c r="J42" t="s" s="191">
        <v>82</v>
      </c>
      <c r="K42" s="192"/>
      <c r="L42" s="186"/>
      <c r="M42" s="186"/>
      <c r="N42" s="186"/>
      <c r="O42" s="186"/>
      <c r="P42" s="186"/>
      <c r="Q42" s="187"/>
      <c r="R42" s="188"/>
      <c r="S42" s="182"/>
    </row>
    <row r="43" ht="19.5" customHeight="1">
      <c r="A43" s="143"/>
      <c r="B43" t="s" s="193">
        <v>83</v>
      </c>
      <c r="C43" s="194"/>
      <c r="D43" t="s" s="193">
        <v>83</v>
      </c>
      <c r="E43" s="194"/>
      <c r="F43" t="s" s="193">
        <v>83</v>
      </c>
      <c r="G43" s="194"/>
      <c r="H43" t="s" s="193">
        <v>83</v>
      </c>
      <c r="I43" s="194"/>
      <c r="J43" t="s" s="195">
        <v>83</v>
      </c>
      <c r="K43" s="192"/>
      <c r="L43" s="186"/>
      <c r="M43" s="186"/>
      <c r="N43" s="186"/>
      <c r="O43" s="186"/>
      <c r="P43" s="186"/>
      <c r="Q43" s="187"/>
      <c r="R43" s="188"/>
      <c r="S43" s="182"/>
    </row>
    <row r="44" ht="19.5" customHeight="1">
      <c r="A44" s="150"/>
      <c r="B44" t="s" s="167">
        <v>125</v>
      </c>
      <c r="C44" s="168"/>
      <c r="D44" s="168"/>
      <c r="E44" s="168"/>
      <c r="F44" s="168"/>
      <c r="G44" s="168"/>
      <c r="H44" s="168"/>
      <c r="I44" s="168"/>
      <c r="J44" s="169"/>
      <c r="K44" s="173"/>
      <c r="L44" s="186"/>
      <c r="M44" s="186"/>
      <c r="N44" s="186"/>
      <c r="O44" s="186"/>
      <c r="P44" s="186"/>
      <c r="Q44" s="187"/>
      <c r="R44" s="188"/>
      <c r="S44" s="182"/>
    </row>
    <row r="45" ht="21" customHeight="1">
      <c r="A45" t="s" s="196">
        <v>85</v>
      </c>
      <c r="B45" t="s" s="197">
        <v>126</v>
      </c>
      <c r="C45" s="198"/>
      <c r="D45" s="198"/>
      <c r="E45" s="198"/>
      <c r="F45" s="198"/>
      <c r="G45" s="198"/>
      <c r="H45" s="198"/>
      <c r="I45" s="198"/>
      <c r="J45" s="199"/>
      <c r="K45" s="49"/>
      <c r="L45" s="200"/>
      <c r="M45" s="200"/>
      <c r="N45" s="200"/>
      <c r="O45" s="200"/>
      <c r="P45" s="200"/>
      <c r="Q45" s="10"/>
      <c r="R45" s="200"/>
      <c r="S45" s="142"/>
    </row>
    <row r="46" ht="19.5" customHeight="1">
      <c r="A46" t="s" s="201">
        <v>175</v>
      </c>
      <c r="B46" s="202"/>
      <c r="C46" s="202"/>
      <c r="D46" s="202"/>
      <c r="E46" s="202"/>
      <c r="F46" s="202"/>
      <c r="G46" s="202"/>
      <c r="H46" s="202"/>
      <c r="I46" s="202"/>
      <c r="J46" s="203"/>
      <c r="K46" s="49"/>
      <c r="L46" s="10"/>
      <c r="M46" s="10"/>
      <c r="N46" s="10"/>
      <c r="O46" s="10"/>
      <c r="P46" s="10"/>
      <c r="Q46" s="10"/>
      <c r="R46" s="10"/>
      <c r="S46" s="13"/>
    </row>
    <row r="47" ht="23.25" customHeight="1">
      <c r="A47" t="s" s="204">
        <v>88</v>
      </c>
      <c r="B47" s="205"/>
      <c r="C47" s="205"/>
      <c r="D47" s="205"/>
      <c r="E47" s="205"/>
      <c r="F47" t="s" s="206">
        <v>89</v>
      </c>
      <c r="G47" s="205"/>
      <c r="H47" s="205"/>
      <c r="I47" s="205"/>
      <c r="J47" s="207"/>
      <c r="K47" s="49"/>
      <c r="L47" s="10"/>
      <c r="M47" s="10"/>
      <c r="N47" s="10"/>
      <c r="O47" s="10"/>
      <c r="P47" s="10"/>
      <c r="Q47" s="10"/>
      <c r="R47" s="10"/>
      <c r="S47" s="161"/>
    </row>
    <row r="48" ht="23.25" customHeight="1">
      <c r="A48" t="s" s="208">
        <v>90</v>
      </c>
      <c r="B48" s="209"/>
      <c r="C48" t="s" s="210">
        <f>A4</f>
        <v>91</v>
      </c>
      <c r="D48" s="209"/>
      <c r="E48" s="209"/>
      <c r="F48" t="s" s="211">
        <v>92</v>
      </c>
      <c r="G48" t="s" s="243">
        <v>128</v>
      </c>
      <c r="H48" s="244"/>
      <c r="I48" s="244"/>
      <c r="J48" s="245"/>
      <c r="K48" s="49"/>
      <c r="L48" s="10"/>
      <c r="M48" s="10"/>
      <c r="N48" s="10"/>
      <c r="O48" s="10"/>
      <c r="P48" s="10"/>
      <c r="Q48" s="10"/>
      <c r="R48" s="10"/>
      <c r="S48" s="13"/>
    </row>
    <row r="49" ht="23.25" customHeight="1">
      <c r="A49" t="s" s="215">
        <v>94</v>
      </c>
      <c r="B49" s="216"/>
      <c r="C49" t="s" s="217">
        <v>95</v>
      </c>
      <c r="D49" s="216"/>
      <c r="E49" s="216"/>
      <c r="F49" t="s" s="246">
        <v>96</v>
      </c>
      <c r="G49" s="254"/>
      <c r="H49" s="254"/>
      <c r="I49" s="254"/>
      <c r="J49" s="255"/>
      <c r="K49" s="49"/>
      <c r="L49" s="10"/>
      <c r="M49" s="10"/>
      <c r="N49" s="10"/>
      <c r="O49" s="10"/>
      <c r="P49" s="10"/>
      <c r="Q49" s="10"/>
      <c r="R49" s="10"/>
      <c r="S49" s="13"/>
    </row>
    <row r="50" ht="23.25" customHeight="1">
      <c r="A50" t="s" s="215">
        <v>98</v>
      </c>
      <c r="B50" s="216"/>
      <c r="C50" s="216"/>
      <c r="D50" s="216"/>
      <c r="E50" s="216"/>
      <c r="F50" t="s" s="217">
        <v>99</v>
      </c>
      <c r="G50" s="254"/>
      <c r="H50" s="254"/>
      <c r="I50" s="254"/>
      <c r="J50" s="255"/>
      <c r="K50" s="49"/>
      <c r="L50" s="10"/>
      <c r="M50" s="10"/>
      <c r="N50" s="10"/>
      <c r="O50" s="10"/>
      <c r="P50" s="10"/>
      <c r="Q50" s="10"/>
      <c r="R50" s="10"/>
      <c r="S50" s="13"/>
    </row>
    <row r="51" ht="23.25" customHeight="1">
      <c r="A51" t="s" s="226">
        <v>101</v>
      </c>
      <c r="B51" s="227"/>
      <c r="C51" t="s" s="248">
        <v>83</v>
      </c>
      <c r="D51" s="249"/>
      <c r="E51" s="249"/>
      <c r="F51" t="s" s="250">
        <v>103</v>
      </c>
      <c r="G51" s="256"/>
      <c r="H51" s="256"/>
      <c r="I51" s="256"/>
      <c r="J51" s="257"/>
      <c r="K51" s="49"/>
      <c r="L51" s="10"/>
      <c r="M51" s="10"/>
      <c r="N51" s="10"/>
      <c r="O51" s="10"/>
      <c r="P51" s="10"/>
      <c r="Q51" s="10"/>
      <c r="R51" s="10"/>
      <c r="S51" s="13"/>
    </row>
  </sheetData>
  <mergeCells count="86">
    <mergeCell ref="A41:A44"/>
    <mergeCell ref="B42:C42"/>
    <mergeCell ref="D42:E42"/>
    <mergeCell ref="F42:G42"/>
    <mergeCell ref="H42:I42"/>
    <mergeCell ref="B43:C43"/>
    <mergeCell ref="D43:E43"/>
    <mergeCell ref="F43:G43"/>
    <mergeCell ref="H43:I43"/>
    <mergeCell ref="B44:J44"/>
    <mergeCell ref="B41:C41"/>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A25:A26"/>
    <mergeCell ref="B25:J26"/>
    <mergeCell ref="A27:A28"/>
    <mergeCell ref="B27:J28"/>
    <mergeCell ref="B29:J29"/>
    <mergeCell ref="A36:A40"/>
    <mergeCell ref="B36:J40"/>
    <mergeCell ref="O36:P36"/>
    <mergeCell ref="O37:P37"/>
    <mergeCell ref="O38:P38"/>
    <mergeCell ref="O40:P40"/>
    <mergeCell ref="B45:J45"/>
    <mergeCell ref="A46:J46"/>
    <mergeCell ref="A47:E47"/>
    <mergeCell ref="F47:J47"/>
    <mergeCell ref="A48:B48"/>
    <mergeCell ref="C48:E48"/>
    <mergeCell ref="G48:J48"/>
    <mergeCell ref="A51:B51"/>
    <mergeCell ref="C51:E51"/>
    <mergeCell ref="G51:J51"/>
    <mergeCell ref="A49:B49"/>
    <mergeCell ref="C49:E49"/>
    <mergeCell ref="G49:J49"/>
    <mergeCell ref="A50:B50"/>
    <mergeCell ref="C50:E50"/>
    <mergeCell ref="G50:J50"/>
  </mergeCells>
  <conditionalFormatting sqref="M5:M6 O5:P5 E11 G11 H18:J18 C24:H24 P27 M28 L36:P44">
    <cfRule type="cellIs" dxfId="10" priority="1" operator="lessThan" stopIfTrue="1">
      <formula>0</formula>
    </cfRule>
  </conditionalFormatting>
  <pageMargins left="0.7" right="0.7" top="0.75" bottom="0.75" header="0.3" footer="0.3"/>
  <pageSetup firstPageNumber="1" fitToHeight="1" fitToWidth="1" scale="65" useFirstPageNumber="0" orientation="portrait" pageOrder="downThenOver"/>
  <headerFooter>
    <oddFooter>&amp;C&amp;"Helvetica Neue,Regular"&amp;12&amp;K000000&amp;P</oddFooter>
  </headerFooter>
  <drawing r:id="rId1"/>
  <legacyDrawing r:id="rId2"/>
</worksheet>
</file>

<file path=xl/worksheets/sheet13.xml><?xml version="1.0" encoding="utf-8"?>
<worksheet xmlns:r="http://schemas.openxmlformats.org/officeDocument/2006/relationships" xmlns="http://schemas.openxmlformats.org/spreadsheetml/2006/main">
  <dimension ref="A1:S51"/>
  <sheetViews>
    <sheetView workbookViewId="0" showGridLines="0" defaultGridColor="1"/>
  </sheetViews>
  <sheetFormatPr defaultColWidth="8.83333" defaultRowHeight="16.5" customHeight="1" outlineLevelRow="0" outlineLevelCol="0"/>
  <cols>
    <col min="1" max="1" width="10.3516" style="268" customWidth="1"/>
    <col min="2" max="2" width="12.5" style="268" customWidth="1"/>
    <col min="3" max="3" width="12.3516" style="268" customWidth="1"/>
    <col min="4" max="4" width="11.8516" style="268" customWidth="1"/>
    <col min="5" max="5" width="12.3516" style="268" customWidth="1"/>
    <col min="6" max="6" width="11" style="268" customWidth="1"/>
    <col min="7" max="7" width="15.6719" style="268" customWidth="1"/>
    <col min="8" max="8" width="9" style="268" customWidth="1"/>
    <col min="9" max="9" width="12.3516" style="268" customWidth="1"/>
    <col min="10" max="10" width="11.8516" style="268" customWidth="1"/>
    <col min="11" max="11" width="5.5" style="268" customWidth="1"/>
    <col min="12" max="16" width="11.6719" style="268" customWidth="1"/>
    <col min="17" max="17" width="14.3516" style="268" customWidth="1"/>
    <col min="18" max="18" width="10" style="268" customWidth="1"/>
    <col min="19" max="19" width="13" style="268" customWidth="1"/>
    <col min="20" max="16384" width="8.85156" style="268" customWidth="1"/>
  </cols>
  <sheetData>
    <row r="1" ht="14.25" customHeight="1">
      <c r="A1" t="s" s="7">
        <v>6</v>
      </c>
      <c r="B1" s="8"/>
      <c r="C1" s="8"/>
      <c r="D1" s="8"/>
      <c r="E1" s="8"/>
      <c r="F1" s="9"/>
      <c r="G1" s="9"/>
      <c r="H1" s="9"/>
      <c r="I1" s="9"/>
      <c r="J1" s="9"/>
      <c r="K1" s="10"/>
      <c r="L1" t="s" s="11">
        <v>7</v>
      </c>
      <c r="M1" s="12"/>
      <c r="N1" s="12"/>
      <c r="O1" s="12"/>
      <c r="P1" s="12"/>
      <c r="Q1" s="12"/>
      <c r="R1" s="10"/>
      <c r="S1" s="13"/>
    </row>
    <row r="2" ht="27" customHeight="1">
      <c r="A2" t="s" s="14">
        <v>8</v>
      </c>
      <c r="B2" s="15"/>
      <c r="C2" s="15"/>
      <c r="D2" s="15"/>
      <c r="E2" s="15"/>
      <c r="F2" s="15"/>
      <c r="G2" s="15"/>
      <c r="H2" s="15"/>
      <c r="I2" s="15"/>
      <c r="J2" s="15"/>
      <c r="K2" s="10"/>
      <c r="L2" s="12"/>
      <c r="M2" s="12"/>
      <c r="N2" s="12"/>
      <c r="O2" s="12"/>
      <c r="P2" s="12"/>
      <c r="Q2" s="12"/>
      <c r="R2" s="10"/>
      <c r="S2" s="13"/>
    </row>
    <row r="3" ht="8" customHeight="1">
      <c r="A3" s="16"/>
      <c r="B3" s="16"/>
      <c r="C3" s="16"/>
      <c r="D3" s="16"/>
      <c r="E3" s="16"/>
      <c r="F3" s="16"/>
      <c r="G3" s="16"/>
      <c r="H3" s="16"/>
      <c r="I3" s="16"/>
      <c r="J3" s="16"/>
      <c r="K3" s="17"/>
      <c r="L3" t="s" s="18">
        <v>9</v>
      </c>
      <c r="M3" s="19"/>
      <c r="N3" s="19"/>
      <c r="O3" s="19"/>
      <c r="P3" s="19"/>
      <c r="Q3" s="10"/>
      <c r="R3" s="10"/>
      <c r="S3" s="13"/>
    </row>
    <row r="4" ht="17.25" customHeight="1">
      <c r="A4" t="s" s="20">
        <v>10</v>
      </c>
      <c r="B4" s="21"/>
      <c r="C4" t="s" s="22">
        <v>11</v>
      </c>
      <c r="D4" s="23"/>
      <c r="E4" s="236"/>
      <c r="F4" t="s" s="22">
        <v>13</v>
      </c>
      <c r="G4" s="25"/>
      <c r="H4" s="25"/>
      <c r="I4" s="25"/>
      <c r="J4" s="26"/>
      <c r="K4" s="27"/>
      <c r="L4" s="19"/>
      <c r="M4" s="19"/>
      <c r="N4" s="19"/>
      <c r="O4" s="19"/>
      <c r="P4" s="19"/>
      <c r="Q4" s="10"/>
      <c r="R4" s="10"/>
      <c r="S4" s="13"/>
    </row>
    <row r="5" ht="15" customHeight="1">
      <c r="A5" t="s" s="28">
        <v>14</v>
      </c>
      <c r="B5" s="29"/>
      <c r="C5" s="30"/>
      <c r="D5" s="30"/>
      <c r="E5" s="29"/>
      <c r="F5" s="30"/>
      <c r="G5" s="30"/>
      <c r="H5" s="30"/>
      <c r="I5" s="30"/>
      <c r="J5" s="31"/>
      <c r="K5" s="27"/>
      <c r="L5" t="s" s="32">
        <v>9</v>
      </c>
      <c r="M5" s="33"/>
      <c r="N5" s="34"/>
      <c r="O5" s="33"/>
      <c r="P5" s="33"/>
      <c r="Q5" s="35"/>
      <c r="R5" s="10"/>
      <c r="S5" s="13"/>
    </row>
    <row r="6" ht="21.75" customHeight="1">
      <c r="A6" t="s" s="36">
        <v>15</v>
      </c>
      <c r="B6" s="237"/>
      <c r="C6" s="38"/>
      <c r="D6" s="38"/>
      <c r="E6" s="39"/>
      <c r="F6" t="s" s="40">
        <v>17</v>
      </c>
      <c r="G6" s="41"/>
      <c r="H6" s="237"/>
      <c r="I6" s="38"/>
      <c r="J6" s="42"/>
      <c r="K6" s="43"/>
      <c r="L6" t="s" s="44">
        <v>19</v>
      </c>
      <c r="M6" s="45"/>
      <c r="N6" t="s" s="46">
        <v>20</v>
      </c>
      <c r="O6" s="47">
        <v>8</v>
      </c>
      <c r="P6" t="s" s="46">
        <v>21</v>
      </c>
      <c r="Q6" s="48">
        <v>6</v>
      </c>
      <c r="R6" s="49"/>
      <c r="S6" s="13"/>
    </row>
    <row r="7" ht="21.75" customHeight="1">
      <c r="A7" t="s" s="50">
        <v>22</v>
      </c>
      <c r="B7" s="51"/>
      <c r="C7" s="51"/>
      <c r="D7" s="51"/>
      <c r="E7" s="51"/>
      <c r="F7" t="s" s="52">
        <v>23</v>
      </c>
      <c r="G7" s="53"/>
      <c r="H7" s="51"/>
      <c r="I7" s="51"/>
      <c r="J7" s="54"/>
      <c r="K7" s="49"/>
      <c r="L7" s="55"/>
      <c r="M7" s="55"/>
      <c r="N7" s="55"/>
      <c r="O7" s="55"/>
      <c r="P7" s="55"/>
      <c r="Q7" s="56"/>
      <c r="R7" s="10"/>
      <c r="S7" s="13"/>
    </row>
    <row r="8" ht="18" customHeight="1">
      <c r="A8" t="s" s="57">
        <v>24</v>
      </c>
      <c r="B8" t="s" s="58">
        <v>177</v>
      </c>
      <c r="C8" s="59"/>
      <c r="D8" t="s" s="60">
        <v>178</v>
      </c>
      <c r="E8" s="59"/>
      <c r="F8" t="s" s="61">
        <v>27</v>
      </c>
      <c r="G8" t="s" s="62">
        <v>28</v>
      </c>
      <c r="H8" s="63"/>
      <c r="I8" s="63"/>
      <c r="J8" s="64"/>
      <c r="K8" s="49"/>
      <c r="L8" s="34"/>
      <c r="M8" s="34"/>
      <c r="N8" s="34"/>
      <c r="O8" s="34"/>
      <c r="P8" s="34"/>
      <c r="Q8" s="35"/>
      <c r="R8" s="10"/>
      <c r="S8" s="13"/>
    </row>
    <row r="9" ht="12" customHeight="1">
      <c r="A9" s="65"/>
      <c r="B9" t="s" s="66">
        <v>29</v>
      </c>
      <c r="C9" s="67"/>
      <c r="D9" s="67"/>
      <c r="E9" s="67"/>
      <c r="F9" s="68"/>
      <c r="G9" s="68"/>
      <c r="H9" s="68"/>
      <c r="I9" s="68"/>
      <c r="J9" s="69"/>
      <c r="K9" s="43"/>
      <c r="L9" t="s" s="70">
        <v>30</v>
      </c>
      <c r="M9" t="s" s="71">
        <v>31</v>
      </c>
      <c r="N9" t="s" s="71">
        <v>32</v>
      </c>
      <c r="O9" t="s" s="71">
        <v>33</v>
      </c>
      <c r="P9" t="s" s="71">
        <v>34</v>
      </c>
      <c r="Q9" t="s" s="72">
        <v>35</v>
      </c>
      <c r="R9" s="49"/>
      <c r="S9" s="13"/>
    </row>
    <row r="10" ht="30" customHeight="1">
      <c r="A10" s="73"/>
      <c r="B10" s="74"/>
      <c r="C10" s="75"/>
      <c r="D10" s="75"/>
      <c r="E10" s="75"/>
      <c r="F10" s="75"/>
      <c r="G10" s="75"/>
      <c r="H10" s="75"/>
      <c r="I10" s="75"/>
      <c r="J10" s="76"/>
      <c r="K10" t="s" s="77">
        <v>9</v>
      </c>
      <c r="L10" t="s" s="78">
        <v>36</v>
      </c>
      <c r="M10" s="79">
        <v>48</v>
      </c>
      <c r="N10" s="80">
        <v>1</v>
      </c>
      <c r="O10" s="81">
        <v>4.34</v>
      </c>
      <c r="P10" s="82">
        <f>M10*O10</f>
        <v>208.32</v>
      </c>
      <c r="Q10" s="83">
        <f>P10/P15</f>
        <v>0.700602668962548</v>
      </c>
      <c r="R10" s="49"/>
      <c r="S10" s="13"/>
    </row>
    <row r="11" ht="19.5" customHeight="1">
      <c r="A11" t="s" s="57">
        <v>37</v>
      </c>
      <c r="B11" t="s" s="84">
        <v>38</v>
      </c>
      <c r="C11" s="85"/>
      <c r="D11" s="86"/>
      <c r="E11" s="87">
        <f>D24</f>
        <v>0</v>
      </c>
      <c r="F11" t="s" s="88">
        <v>39</v>
      </c>
      <c r="G11" s="89">
        <f>E11/8</f>
        <v>0</v>
      </c>
      <c r="H11" t="s" s="90">
        <v>40</v>
      </c>
      <c r="I11" s="91"/>
      <c r="J11" s="92"/>
      <c r="K11" s="43"/>
      <c r="L11" t="s" s="78">
        <v>41</v>
      </c>
      <c r="M11" s="79">
        <v>9.6</v>
      </c>
      <c r="N11" s="80">
        <v>1</v>
      </c>
      <c r="O11" s="81">
        <v>4.34</v>
      </c>
      <c r="P11" s="82">
        <f>M11*O11</f>
        <v>41.664</v>
      </c>
      <c r="Q11" s="83">
        <f>P11/P15</f>
        <v>0.14012053379251</v>
      </c>
      <c r="R11" s="49"/>
      <c r="S11" s="13"/>
    </row>
    <row r="12" ht="17.25" customHeight="1">
      <c r="A12" s="65"/>
      <c r="B12" t="s" s="93">
        <v>42</v>
      </c>
      <c r="C12" s="94"/>
      <c r="D12" s="94"/>
      <c r="E12" s="95"/>
      <c r="F12" s="94"/>
      <c r="G12" s="95"/>
      <c r="H12" s="94"/>
      <c r="I12" s="94"/>
      <c r="J12" s="96"/>
      <c r="K12" s="43"/>
      <c r="L12" t="s" s="78">
        <v>43</v>
      </c>
      <c r="M12" s="79">
        <v>12</v>
      </c>
      <c r="N12" s="80">
        <v>1</v>
      </c>
      <c r="O12" s="81">
        <v>1</v>
      </c>
      <c r="P12" s="82">
        <f>M12*N12*O12</f>
        <v>12</v>
      </c>
      <c r="Q12" s="83">
        <f>P12/P15</f>
        <v>0.0403572965992251</v>
      </c>
      <c r="R12" s="98"/>
      <c r="S12" s="99"/>
    </row>
    <row r="13" ht="17.25" customHeight="1">
      <c r="A13" s="65"/>
      <c r="B13" s="100"/>
      <c r="C13" s="94"/>
      <c r="D13" s="94"/>
      <c r="E13" s="94"/>
      <c r="F13" s="94"/>
      <c r="G13" s="94"/>
      <c r="H13" s="94"/>
      <c r="I13" s="94"/>
      <c r="J13" s="96"/>
      <c r="K13" s="43"/>
      <c r="L13" t="s" s="78">
        <v>44</v>
      </c>
      <c r="M13" s="79">
        <v>8</v>
      </c>
      <c r="N13" s="80">
        <v>0.5</v>
      </c>
      <c r="O13" s="81">
        <v>4.34</v>
      </c>
      <c r="P13" s="82">
        <f>M13*N13*O13</f>
        <v>17.36</v>
      </c>
      <c r="Q13" s="101">
        <f>P13/P15</f>
        <v>0.058383555746879</v>
      </c>
      <c r="R13" s="49"/>
      <c r="S13" s="13"/>
    </row>
    <row r="14" ht="17.25" customHeight="1">
      <c r="A14" s="65"/>
      <c r="B14" s="100"/>
      <c r="C14" s="94"/>
      <c r="D14" s="94"/>
      <c r="E14" s="94"/>
      <c r="F14" s="94"/>
      <c r="G14" s="94"/>
      <c r="H14" s="94"/>
      <c r="I14" s="94"/>
      <c r="J14" s="96"/>
      <c r="K14" s="43"/>
      <c r="L14" t="s" s="78">
        <v>45</v>
      </c>
      <c r="M14" s="81">
        <v>0</v>
      </c>
      <c r="N14" s="80"/>
      <c r="O14" s="81">
        <v>0</v>
      </c>
      <c r="P14" s="82">
        <v>18</v>
      </c>
      <c r="Q14" s="101">
        <f>P14/P15</f>
        <v>0.0605359448988377</v>
      </c>
      <c r="R14" s="49"/>
      <c r="S14" s="13"/>
    </row>
    <row r="15" ht="13.5" customHeight="1">
      <c r="A15" s="65"/>
      <c r="B15" t="s" s="102">
        <v>46</v>
      </c>
      <c r="C15" s="68"/>
      <c r="D15" s="68"/>
      <c r="E15" s="68"/>
      <c r="F15" s="68"/>
      <c r="G15" s="68"/>
      <c r="H15" s="68"/>
      <c r="I15" s="68"/>
      <c r="J15" s="69"/>
      <c r="K15" s="43"/>
      <c r="L15" t="s" s="103">
        <v>47</v>
      </c>
      <c r="M15" s="104"/>
      <c r="N15" s="104"/>
      <c r="O15" s="105">
        <v>0</v>
      </c>
      <c r="P15" s="106">
        <f>SUM(P10:P14)</f>
        <v>297.344</v>
      </c>
      <c r="Q15" s="107">
        <f>SUM(Q10:Q14)</f>
        <v>1</v>
      </c>
      <c r="R15" s="49"/>
      <c r="S15" s="13"/>
    </row>
    <row r="16" ht="13.5" customHeight="1">
      <c r="A16" s="65"/>
      <c r="B16" s="108"/>
      <c r="C16" s="68"/>
      <c r="D16" s="68"/>
      <c r="E16" s="68"/>
      <c r="F16" s="68"/>
      <c r="G16" s="68"/>
      <c r="H16" s="68"/>
      <c r="I16" s="68"/>
      <c r="J16" s="69"/>
      <c r="K16" s="49"/>
      <c r="L16" s="56"/>
      <c r="M16" s="56"/>
      <c r="N16" s="56"/>
      <c r="O16" s="56"/>
      <c r="P16" s="56"/>
      <c r="Q16" s="56"/>
      <c r="R16" s="10"/>
      <c r="S16" s="13"/>
    </row>
    <row r="17" ht="21" customHeight="1">
      <c r="A17" s="65"/>
      <c r="B17" t="s" s="102">
        <v>48</v>
      </c>
      <c r="C17" s="68"/>
      <c r="D17" s="68"/>
      <c r="E17" s="68"/>
      <c r="F17" s="68"/>
      <c r="G17" s="109"/>
      <c r="H17" s="109"/>
      <c r="I17" s="109"/>
      <c r="J17" s="110"/>
      <c r="K17" s="49"/>
      <c r="L17" s="111"/>
      <c r="M17" s="112"/>
      <c r="N17" t="s" s="113">
        <v>49</v>
      </c>
      <c r="O17" s="114"/>
      <c r="P17" s="114"/>
      <c r="Q17" s="115">
        <v>9620</v>
      </c>
      <c r="R17" s="10"/>
      <c r="S17" s="13"/>
    </row>
    <row r="18" ht="15.75" customHeight="1">
      <c r="A18" s="65"/>
      <c r="B18" t="s" s="116">
        <v>108</v>
      </c>
      <c r="C18" s="117"/>
      <c r="D18" s="117"/>
      <c r="E18" s="117"/>
      <c r="F18" s="118"/>
      <c r="G18" s="119"/>
      <c r="H18" t="s" s="120">
        <v>51</v>
      </c>
      <c r="I18" s="121"/>
      <c r="J18" s="122"/>
      <c r="K18" s="49"/>
      <c r="L18" s="111"/>
      <c r="M18" s="112"/>
      <c r="N18" s="10"/>
      <c r="O18" s="10"/>
      <c r="P18" s="123"/>
      <c r="Q18" s="10"/>
      <c r="R18" s="10"/>
      <c r="S18" s="13"/>
    </row>
    <row r="19" ht="15.75" customHeight="1">
      <c r="A19" s="65"/>
      <c r="B19" t="s" s="124">
        <v>121</v>
      </c>
      <c r="C19" s="125"/>
      <c r="D19" s="125"/>
      <c r="E19" s="125"/>
      <c r="F19" s="125"/>
      <c r="G19" s="126"/>
      <c r="H19" s="126"/>
      <c r="I19" s="126"/>
      <c r="J19" s="127"/>
      <c r="K19" s="49"/>
      <c r="L19" t="s" s="128">
        <v>53</v>
      </c>
      <c r="M19" s="129"/>
      <c r="N19" s="129"/>
      <c r="O19" s="129"/>
      <c r="P19" s="129"/>
      <c r="Q19" s="130"/>
      <c r="R19" s="10"/>
      <c r="S19" s="13"/>
    </row>
    <row r="20" ht="15.75" customHeight="1">
      <c r="A20" s="65"/>
      <c r="B20" t="s" s="124">
        <v>54</v>
      </c>
      <c r="C20" s="125"/>
      <c r="D20" s="125"/>
      <c r="E20" s="125"/>
      <c r="F20" s="125"/>
      <c r="G20" s="125"/>
      <c r="H20" s="125"/>
      <c r="I20" s="125"/>
      <c r="J20" s="131"/>
      <c r="K20" s="49"/>
      <c r="L20" t="s" s="128">
        <v>55</v>
      </c>
      <c r="M20" s="129"/>
      <c r="N20" s="129"/>
      <c r="O20" s="129"/>
      <c r="P20" s="129"/>
      <c r="Q20" s="130"/>
      <c r="R20" s="10"/>
      <c r="S20" s="13"/>
    </row>
    <row r="21" ht="15.75" customHeight="1">
      <c r="A21" s="73"/>
      <c r="B21" t="s" s="132">
        <v>122</v>
      </c>
      <c r="C21" s="133"/>
      <c r="D21" s="133"/>
      <c r="E21" s="133"/>
      <c r="F21" s="133"/>
      <c r="G21" s="133"/>
      <c r="H21" s="133"/>
      <c r="I21" s="133"/>
      <c r="J21" s="134"/>
      <c r="K21" s="49"/>
      <c r="L21" t="s" s="128">
        <v>57</v>
      </c>
      <c r="M21" s="129"/>
      <c r="N21" s="129"/>
      <c r="O21" s="129"/>
      <c r="P21" s="129"/>
      <c r="Q21" s="130"/>
      <c r="R21" s="10"/>
      <c r="S21" s="13"/>
    </row>
    <row r="22" ht="18.75" customHeight="1">
      <c r="A22" t="s" s="135">
        <v>58</v>
      </c>
      <c r="B22" t="s" s="136">
        <v>59</v>
      </c>
      <c r="C22" s="137"/>
      <c r="D22" t="s" s="138">
        <v>36</v>
      </c>
      <c r="E22" t="s" s="138">
        <v>60</v>
      </c>
      <c r="F22" t="s" s="138">
        <v>43</v>
      </c>
      <c r="G22" t="s" s="139">
        <v>61</v>
      </c>
      <c r="H22" s="140"/>
      <c r="I22" t="s" s="139">
        <v>45</v>
      </c>
      <c r="J22" s="141"/>
      <c r="K22" s="49"/>
      <c r="L22" t="s" s="128">
        <v>62</v>
      </c>
      <c r="M22" s="129"/>
      <c r="N22" s="129"/>
      <c r="O22" s="129"/>
      <c r="P22" s="129"/>
      <c r="Q22" s="130"/>
      <c r="R22" s="129"/>
      <c r="S22" s="142"/>
    </row>
    <row r="23" ht="18.75" customHeight="1">
      <c r="A23" s="143"/>
      <c r="B23" t="s" s="144">
        <v>63</v>
      </c>
      <c r="C23" s="145"/>
      <c r="D23" s="146">
        <f>Q10</f>
        <v>0.700602668962548</v>
      </c>
      <c r="E23" s="146">
        <f>Q11</f>
        <v>0.14012053379251</v>
      </c>
      <c r="F23" s="146">
        <f>Q12</f>
        <v>0.0403572965992251</v>
      </c>
      <c r="G23" s="147">
        <f>Q13</f>
        <v>0.058383555746879</v>
      </c>
      <c r="H23" s="148"/>
      <c r="I23" s="147">
        <f>Q14</f>
        <v>0.0605359448988377</v>
      </c>
      <c r="J23" s="149"/>
      <c r="K23" s="49"/>
      <c r="L23" s="129"/>
      <c r="M23" s="129"/>
      <c r="N23" s="129"/>
      <c r="O23" s="129"/>
      <c r="P23" s="129"/>
      <c r="Q23" s="129"/>
      <c r="R23" s="129"/>
      <c r="S23" s="142"/>
    </row>
    <row r="24" ht="18.75" customHeight="1">
      <c r="A24" s="150"/>
      <c r="B24" t="s" s="151">
        <v>64</v>
      </c>
      <c r="C24" s="152">
        <f>G11</f>
        <v>0</v>
      </c>
      <c r="D24" s="153">
        <f>G18*$D$23</f>
        <v>0</v>
      </c>
      <c r="E24" s="153">
        <f>G18*$E$23</f>
        <v>0</v>
      </c>
      <c r="F24" s="153">
        <f>G18*$F$23</f>
        <v>0</v>
      </c>
      <c r="G24" s="154">
        <f>G18*$G$23</f>
        <v>0</v>
      </c>
      <c r="H24" s="155"/>
      <c r="I24" s="156">
        <f>G18*$I$23</f>
        <v>0</v>
      </c>
      <c r="J24" s="157"/>
      <c r="K24" s="49"/>
      <c r="L24" s="129"/>
      <c r="M24" s="129"/>
      <c r="N24" s="129"/>
      <c r="O24" s="129"/>
      <c r="P24" s="129"/>
      <c r="Q24" s="129"/>
      <c r="R24" s="129"/>
      <c r="S24" s="142"/>
    </row>
    <row r="25" ht="54.75" customHeight="1">
      <c r="A25" t="s" s="135">
        <v>65</v>
      </c>
      <c r="B25" t="s" s="158">
        <v>123</v>
      </c>
      <c r="C25" s="159"/>
      <c r="D25" s="159"/>
      <c r="E25" s="159"/>
      <c r="F25" s="159"/>
      <c r="G25" s="159"/>
      <c r="H25" s="159"/>
      <c r="I25" s="159"/>
      <c r="J25" s="160"/>
      <c r="K25" s="49"/>
      <c r="L25" t="s" s="128">
        <v>9</v>
      </c>
      <c r="M25" s="129"/>
      <c r="N25" s="129"/>
      <c r="O25" s="129"/>
      <c r="P25" s="129"/>
      <c r="Q25" s="130"/>
      <c r="R25" s="10"/>
      <c r="S25" s="142"/>
    </row>
    <row r="26" ht="66.75" customHeight="1">
      <c r="A26" s="73"/>
      <c r="B26" s="74"/>
      <c r="C26" s="75"/>
      <c r="D26" s="75"/>
      <c r="E26" s="75"/>
      <c r="F26" s="75"/>
      <c r="G26" s="75"/>
      <c r="H26" s="75"/>
      <c r="I26" s="75"/>
      <c r="J26" s="76"/>
      <c r="K26" s="49"/>
      <c r="L26" t="s" s="128">
        <v>9</v>
      </c>
      <c r="M26" s="129"/>
      <c r="N26" s="129"/>
      <c r="O26" s="129"/>
      <c r="P26" s="129"/>
      <c r="Q26" s="130"/>
      <c r="R26" s="10"/>
      <c r="S26" s="142"/>
    </row>
    <row r="27" ht="27.75" customHeight="1">
      <c r="A27" t="s" s="57">
        <v>67</v>
      </c>
      <c r="B27" t="s" s="158">
        <v>68</v>
      </c>
      <c r="C27" s="159"/>
      <c r="D27" s="159"/>
      <c r="E27" s="159"/>
      <c r="F27" s="159"/>
      <c r="G27" s="159"/>
      <c r="H27" s="159"/>
      <c r="I27" s="159"/>
      <c r="J27" s="160"/>
      <c r="K27" s="49"/>
      <c r="L27" s="161">
        <f>C24*8</f>
        <v>0</v>
      </c>
      <c r="M27" s="162">
        <f>E24*5</f>
        <v>0</v>
      </c>
      <c r="N27" s="129"/>
      <c r="O27" s="162"/>
      <c r="P27" s="163"/>
      <c r="Q27" s="162"/>
      <c r="R27" s="164"/>
      <c r="S27" s="165"/>
    </row>
    <row r="28" ht="27.75" customHeight="1">
      <c r="A28" s="73"/>
      <c r="B28" s="74"/>
      <c r="C28" s="75"/>
      <c r="D28" s="75"/>
      <c r="E28" s="75"/>
      <c r="F28" s="75"/>
      <c r="G28" s="75"/>
      <c r="H28" s="75"/>
      <c r="I28" s="75"/>
      <c r="J28" s="76"/>
      <c r="K28" s="49"/>
      <c r="L28" s="161"/>
      <c r="M28" s="163"/>
      <c r="N28" s="10"/>
      <c r="O28" s="10"/>
      <c r="P28" s="10"/>
      <c r="Q28" s="10"/>
      <c r="R28" s="164"/>
      <c r="S28" s="165"/>
    </row>
    <row r="29" ht="40.5" customHeight="1">
      <c r="A29" t="s" s="166">
        <v>69</v>
      </c>
      <c r="B29" t="s" s="167">
        <v>70</v>
      </c>
      <c r="C29" s="168"/>
      <c r="D29" s="168"/>
      <c r="E29" s="168"/>
      <c r="F29" s="168"/>
      <c r="G29" s="168"/>
      <c r="H29" s="168"/>
      <c r="I29" s="168"/>
      <c r="J29" s="169"/>
      <c r="K29" s="49"/>
      <c r="L29" t="s" s="170">
        <v>71</v>
      </c>
      <c r="M29" s="171"/>
      <c r="N29" s="171"/>
      <c r="O29" s="171"/>
      <c r="P29" s="171"/>
      <c r="Q29" s="171"/>
      <c r="R29" s="164"/>
      <c r="S29" s="165"/>
    </row>
    <row r="30" ht="23.25" customHeight="1">
      <c r="A30" t="s" s="135">
        <v>72</v>
      </c>
      <c r="B30" t="s" s="158">
        <v>73</v>
      </c>
      <c r="C30" s="159"/>
      <c r="D30" s="159"/>
      <c r="E30" s="159"/>
      <c r="F30" s="159"/>
      <c r="G30" s="159"/>
      <c r="H30" s="159"/>
      <c r="I30" s="159"/>
      <c r="J30" s="160"/>
      <c r="K30" s="49"/>
      <c r="L30" s="171"/>
      <c r="M30" s="171"/>
      <c r="N30" s="171"/>
      <c r="O30" s="171"/>
      <c r="P30" s="171"/>
      <c r="Q30" s="171"/>
      <c r="R30" s="164"/>
      <c r="S30" s="164"/>
    </row>
    <row r="31" ht="23.25" customHeight="1">
      <c r="A31" s="143"/>
      <c r="B31" s="108"/>
      <c r="C31" s="68"/>
      <c r="D31" s="68"/>
      <c r="E31" s="68"/>
      <c r="F31" s="68"/>
      <c r="G31" s="68"/>
      <c r="H31" s="68"/>
      <c r="I31" s="68"/>
      <c r="J31" s="69"/>
      <c r="K31" s="49"/>
      <c r="L31" s="171"/>
      <c r="M31" s="171"/>
      <c r="N31" s="171"/>
      <c r="O31" s="171"/>
      <c r="P31" s="171"/>
      <c r="Q31" s="171"/>
      <c r="R31" s="10"/>
      <c r="S31" s="142"/>
    </row>
    <row r="32" ht="23.25" customHeight="1">
      <c r="A32" s="143"/>
      <c r="B32" s="108"/>
      <c r="C32" s="68"/>
      <c r="D32" s="68"/>
      <c r="E32" s="68"/>
      <c r="F32" s="68"/>
      <c r="G32" s="68"/>
      <c r="H32" s="68"/>
      <c r="I32" s="68"/>
      <c r="J32" s="69"/>
      <c r="K32" s="49"/>
      <c r="L32" s="171"/>
      <c r="M32" s="171"/>
      <c r="N32" s="171"/>
      <c r="O32" s="171"/>
      <c r="P32" s="171"/>
      <c r="Q32" s="171"/>
      <c r="R32" s="10"/>
      <c r="S32" s="142"/>
    </row>
    <row r="33" ht="23.25" customHeight="1">
      <c r="A33" s="143"/>
      <c r="B33" s="108"/>
      <c r="C33" s="68"/>
      <c r="D33" s="68"/>
      <c r="E33" s="68"/>
      <c r="F33" s="68"/>
      <c r="G33" s="68"/>
      <c r="H33" s="68"/>
      <c r="I33" s="68"/>
      <c r="J33" s="69"/>
      <c r="K33" s="49"/>
      <c r="L33" s="172"/>
      <c r="M33" s="172"/>
      <c r="N33" s="172"/>
      <c r="O33" s="172"/>
      <c r="P33" s="172"/>
      <c r="Q33" s="10"/>
      <c r="R33" s="10"/>
      <c r="S33" s="142"/>
    </row>
    <row r="34" ht="23.25" customHeight="1">
      <c r="A34" s="143"/>
      <c r="B34" s="108"/>
      <c r="C34" s="68"/>
      <c r="D34" s="68"/>
      <c r="E34" s="68"/>
      <c r="F34" s="68"/>
      <c r="G34" s="68"/>
      <c r="H34" s="68"/>
      <c r="I34" s="68"/>
      <c r="J34" s="69"/>
      <c r="K34" s="173"/>
      <c r="L34" s="174"/>
      <c r="M34" s="174"/>
      <c r="N34" s="174"/>
      <c r="O34" s="174"/>
      <c r="P34" s="174"/>
      <c r="Q34" s="175"/>
      <c r="R34" s="10"/>
      <c r="S34" s="142"/>
    </row>
    <row r="35" ht="28.5" customHeight="1">
      <c r="A35" s="150"/>
      <c r="B35" s="74"/>
      <c r="C35" s="75"/>
      <c r="D35" s="75"/>
      <c r="E35" s="75"/>
      <c r="F35" s="75"/>
      <c r="G35" s="75"/>
      <c r="H35" s="75"/>
      <c r="I35" s="75"/>
      <c r="J35" s="76"/>
      <c r="K35" s="173"/>
      <c r="L35" s="176"/>
      <c r="M35" s="176"/>
      <c r="N35" s="176"/>
      <c r="O35" s="176"/>
      <c r="P35" s="176"/>
      <c r="Q35" s="177"/>
      <c r="R35" s="178"/>
      <c r="S35" s="142"/>
    </row>
    <row r="36" ht="21" customHeight="1">
      <c r="A36" t="s" s="135">
        <v>74</v>
      </c>
      <c r="B36" t="s" s="158">
        <v>124</v>
      </c>
      <c r="C36" s="159"/>
      <c r="D36" s="159"/>
      <c r="E36" s="159"/>
      <c r="F36" s="159"/>
      <c r="G36" s="159"/>
      <c r="H36" s="159"/>
      <c r="I36" s="159"/>
      <c r="J36" s="160"/>
      <c r="K36" s="173"/>
      <c r="L36" s="179"/>
      <c r="M36" s="179"/>
      <c r="N36" s="179"/>
      <c r="O36" s="179"/>
      <c r="P36" s="179"/>
      <c r="Q36" s="180"/>
      <c r="R36" s="181"/>
      <c r="S36" s="182"/>
    </row>
    <row r="37" ht="19.5" customHeight="1">
      <c r="A37" s="143"/>
      <c r="B37" s="108"/>
      <c r="C37" s="68"/>
      <c r="D37" s="68"/>
      <c r="E37" s="68"/>
      <c r="F37" s="68"/>
      <c r="G37" s="68"/>
      <c r="H37" s="68"/>
      <c r="I37" s="68"/>
      <c r="J37" s="69"/>
      <c r="K37" s="173"/>
      <c r="L37" s="183"/>
      <c r="M37" s="183"/>
      <c r="N37" s="183"/>
      <c r="O37" s="183"/>
      <c r="P37" s="183"/>
      <c r="Q37" s="184"/>
      <c r="R37" s="185"/>
      <c r="S37" s="182"/>
    </row>
    <row r="38" ht="19.5" customHeight="1">
      <c r="A38" s="143"/>
      <c r="B38" s="108"/>
      <c r="C38" s="68"/>
      <c r="D38" s="68"/>
      <c r="E38" s="68"/>
      <c r="F38" s="68"/>
      <c r="G38" s="68"/>
      <c r="H38" s="68"/>
      <c r="I38" s="68"/>
      <c r="J38" s="69"/>
      <c r="K38" s="173"/>
      <c r="L38" s="186"/>
      <c r="M38" s="186"/>
      <c r="N38" s="186"/>
      <c r="O38" s="186"/>
      <c r="P38" s="186"/>
      <c r="Q38" s="187"/>
      <c r="R38" s="188"/>
      <c r="S38" s="182"/>
    </row>
    <row r="39" ht="19.5" customHeight="1">
      <c r="A39" s="143"/>
      <c r="B39" s="108"/>
      <c r="C39" s="68"/>
      <c r="D39" s="68"/>
      <c r="E39" s="68"/>
      <c r="F39" s="68"/>
      <c r="G39" s="68"/>
      <c r="H39" s="68"/>
      <c r="I39" s="68"/>
      <c r="J39" s="69"/>
      <c r="K39" s="173"/>
      <c r="L39" s="186"/>
      <c r="M39" s="186"/>
      <c r="N39" s="186"/>
      <c r="O39" s="186"/>
      <c r="P39" s="186"/>
      <c r="Q39" s="187"/>
      <c r="R39" s="188"/>
      <c r="S39" s="182"/>
    </row>
    <row r="40" ht="19.5" customHeight="1">
      <c r="A40" s="150"/>
      <c r="B40" s="74"/>
      <c r="C40" s="75"/>
      <c r="D40" s="75"/>
      <c r="E40" s="75"/>
      <c r="F40" s="75"/>
      <c r="G40" s="75"/>
      <c r="H40" s="75"/>
      <c r="I40" s="75"/>
      <c r="J40" s="76"/>
      <c r="K40" s="173"/>
      <c r="L40" s="186"/>
      <c r="M40" s="186"/>
      <c r="N40" s="186"/>
      <c r="O40" s="186"/>
      <c r="P40" s="186"/>
      <c r="Q40" s="187"/>
      <c r="R40" s="188"/>
      <c r="S40" s="182"/>
    </row>
    <row r="41" ht="17.1" customHeight="1">
      <c r="A41" t="s" s="135">
        <v>76</v>
      </c>
      <c r="B41" t="s" s="167">
        <v>77</v>
      </c>
      <c r="C41" s="168"/>
      <c r="D41" s="168"/>
      <c r="E41" s="168"/>
      <c r="F41" s="168"/>
      <c r="G41" s="168"/>
      <c r="H41" s="168"/>
      <c r="I41" s="168"/>
      <c r="J41" s="169"/>
      <c r="K41" s="173"/>
      <c r="L41" s="186"/>
      <c r="M41" s="186"/>
      <c r="N41" s="186"/>
      <c r="O41" s="186"/>
      <c r="P41" s="186"/>
      <c r="Q41" s="187"/>
      <c r="R41" s="188"/>
      <c r="S41" s="182"/>
    </row>
    <row r="42" ht="19.5" customHeight="1">
      <c r="A42" s="143"/>
      <c r="B42" t="s" s="189">
        <v>78</v>
      </c>
      <c r="C42" s="190"/>
      <c r="D42" t="s" s="189">
        <v>79</v>
      </c>
      <c r="E42" s="190"/>
      <c r="F42" t="s" s="189">
        <v>80</v>
      </c>
      <c r="G42" s="190"/>
      <c r="H42" t="s" s="189">
        <v>81</v>
      </c>
      <c r="I42" s="190"/>
      <c r="J42" t="s" s="191">
        <v>82</v>
      </c>
      <c r="K42" s="192"/>
      <c r="L42" s="186"/>
      <c r="M42" s="186"/>
      <c r="N42" s="186"/>
      <c r="O42" s="186"/>
      <c r="P42" s="186"/>
      <c r="Q42" s="187"/>
      <c r="R42" s="188"/>
      <c r="S42" s="182"/>
    </row>
    <row r="43" ht="19.5" customHeight="1">
      <c r="A43" s="143"/>
      <c r="B43" t="s" s="193">
        <v>83</v>
      </c>
      <c r="C43" s="194"/>
      <c r="D43" t="s" s="193">
        <v>83</v>
      </c>
      <c r="E43" s="194"/>
      <c r="F43" t="s" s="193">
        <v>83</v>
      </c>
      <c r="G43" s="194"/>
      <c r="H43" t="s" s="193">
        <v>83</v>
      </c>
      <c r="I43" s="194"/>
      <c r="J43" t="s" s="195">
        <v>83</v>
      </c>
      <c r="K43" s="192"/>
      <c r="L43" s="186"/>
      <c r="M43" s="186"/>
      <c r="N43" s="186"/>
      <c r="O43" s="186"/>
      <c r="P43" s="186"/>
      <c r="Q43" s="187"/>
      <c r="R43" s="188"/>
      <c r="S43" s="182"/>
    </row>
    <row r="44" ht="19.5" customHeight="1">
      <c r="A44" s="150"/>
      <c r="B44" t="s" s="167">
        <v>125</v>
      </c>
      <c r="C44" s="168"/>
      <c r="D44" s="168"/>
      <c r="E44" s="168"/>
      <c r="F44" s="168"/>
      <c r="G44" s="168"/>
      <c r="H44" s="168"/>
      <c r="I44" s="168"/>
      <c r="J44" s="169"/>
      <c r="K44" s="173"/>
      <c r="L44" s="186"/>
      <c r="M44" s="186"/>
      <c r="N44" s="186"/>
      <c r="O44" s="186"/>
      <c r="P44" s="186"/>
      <c r="Q44" s="187"/>
      <c r="R44" s="188"/>
      <c r="S44" s="182"/>
    </row>
    <row r="45" ht="21" customHeight="1">
      <c r="A45" t="s" s="196">
        <v>85</v>
      </c>
      <c r="B45" t="s" s="197">
        <v>126</v>
      </c>
      <c r="C45" s="198"/>
      <c r="D45" s="198"/>
      <c r="E45" s="198"/>
      <c r="F45" s="198"/>
      <c r="G45" s="198"/>
      <c r="H45" s="198"/>
      <c r="I45" s="198"/>
      <c r="J45" s="199"/>
      <c r="K45" s="49"/>
      <c r="L45" s="200"/>
      <c r="M45" s="200"/>
      <c r="N45" s="200"/>
      <c r="O45" s="200"/>
      <c r="P45" s="200"/>
      <c r="Q45" s="10"/>
      <c r="R45" s="200"/>
      <c r="S45" s="142"/>
    </row>
    <row r="46" ht="19.5" customHeight="1">
      <c r="A46" t="s" s="201">
        <v>179</v>
      </c>
      <c r="B46" s="202"/>
      <c r="C46" s="202"/>
      <c r="D46" s="202"/>
      <c r="E46" s="202"/>
      <c r="F46" s="202"/>
      <c r="G46" s="202"/>
      <c r="H46" s="202"/>
      <c r="I46" s="202"/>
      <c r="J46" s="203"/>
      <c r="K46" s="49"/>
      <c r="L46" s="10"/>
      <c r="M46" s="10"/>
      <c r="N46" s="10"/>
      <c r="O46" s="10"/>
      <c r="P46" s="10"/>
      <c r="Q46" s="10"/>
      <c r="R46" s="10"/>
      <c r="S46" s="13"/>
    </row>
    <row r="47" ht="23.25" customHeight="1">
      <c r="A47" t="s" s="204">
        <v>88</v>
      </c>
      <c r="B47" s="205"/>
      <c r="C47" s="205"/>
      <c r="D47" s="205"/>
      <c r="E47" s="205"/>
      <c r="F47" t="s" s="206">
        <v>89</v>
      </c>
      <c r="G47" s="205"/>
      <c r="H47" s="205"/>
      <c r="I47" s="205"/>
      <c r="J47" s="207"/>
      <c r="K47" s="49"/>
      <c r="L47" s="10"/>
      <c r="M47" s="10"/>
      <c r="N47" s="10"/>
      <c r="O47" s="10"/>
      <c r="P47" s="10"/>
      <c r="Q47" s="10"/>
      <c r="R47" s="10"/>
      <c r="S47" s="161"/>
    </row>
    <row r="48" ht="23.25" customHeight="1">
      <c r="A48" t="s" s="208">
        <v>90</v>
      </c>
      <c r="B48" s="209"/>
      <c r="C48" t="s" s="210">
        <f>A4</f>
        <v>91</v>
      </c>
      <c r="D48" s="209"/>
      <c r="E48" s="209"/>
      <c r="F48" t="s" s="211">
        <v>92</v>
      </c>
      <c r="G48" t="s" s="211">
        <v>180</v>
      </c>
      <c r="H48" s="260"/>
      <c r="I48" s="260"/>
      <c r="J48" s="261"/>
      <c r="K48" s="49"/>
      <c r="L48" s="10"/>
      <c r="M48" s="10"/>
      <c r="N48" s="10"/>
      <c r="O48" s="10"/>
      <c r="P48" s="10"/>
      <c r="Q48" s="10"/>
      <c r="R48" s="10"/>
      <c r="S48" s="13"/>
    </row>
    <row r="49" ht="23.25" customHeight="1">
      <c r="A49" t="s" s="215">
        <v>94</v>
      </c>
      <c r="B49" s="216"/>
      <c r="C49" t="s" s="217">
        <v>95</v>
      </c>
      <c r="D49" s="216"/>
      <c r="E49" s="216"/>
      <c r="F49" t="s" s="246">
        <v>96</v>
      </c>
      <c r="G49" s="216"/>
      <c r="H49" s="216"/>
      <c r="I49" s="216"/>
      <c r="J49" s="247"/>
      <c r="K49" s="49"/>
      <c r="L49" s="10"/>
      <c r="M49" s="10"/>
      <c r="N49" s="10"/>
      <c r="O49" s="10"/>
      <c r="P49" s="10"/>
      <c r="Q49" s="10"/>
      <c r="R49" s="10"/>
      <c r="S49" s="13"/>
    </row>
    <row r="50" ht="23.25" customHeight="1">
      <c r="A50" t="s" s="215">
        <v>98</v>
      </c>
      <c r="B50" s="216"/>
      <c r="C50" s="216"/>
      <c r="D50" s="216"/>
      <c r="E50" s="216"/>
      <c r="F50" t="s" s="217">
        <v>99</v>
      </c>
      <c r="G50" s="216"/>
      <c r="H50" s="216"/>
      <c r="I50" s="216"/>
      <c r="J50" s="247"/>
      <c r="K50" s="49"/>
      <c r="L50" s="10"/>
      <c r="M50" s="10"/>
      <c r="N50" s="10"/>
      <c r="O50" s="10"/>
      <c r="P50" s="10"/>
      <c r="Q50" s="10"/>
      <c r="R50" s="10"/>
      <c r="S50" s="13"/>
    </row>
    <row r="51" ht="23.25" customHeight="1">
      <c r="A51" t="s" s="226">
        <v>101</v>
      </c>
      <c r="B51" s="227"/>
      <c r="C51" t="s" s="248">
        <v>181</v>
      </c>
      <c r="D51" s="249"/>
      <c r="E51" s="249"/>
      <c r="F51" t="s" s="250">
        <v>103</v>
      </c>
      <c r="G51" s="227"/>
      <c r="H51" s="227"/>
      <c r="I51" s="227"/>
      <c r="J51" s="251"/>
      <c r="K51" s="49"/>
      <c r="L51" s="10"/>
      <c r="M51" s="10"/>
      <c r="N51" s="10"/>
      <c r="O51" s="10"/>
      <c r="P51" s="10"/>
      <c r="Q51" s="10"/>
      <c r="R51" s="10"/>
      <c r="S51" s="13"/>
    </row>
  </sheetData>
  <mergeCells count="86">
    <mergeCell ref="B20:J20"/>
    <mergeCell ref="B21:J21"/>
    <mergeCell ref="A51:B51"/>
    <mergeCell ref="C51:E51"/>
    <mergeCell ref="G51:J51"/>
    <mergeCell ref="A49:B49"/>
    <mergeCell ref="C49:E49"/>
    <mergeCell ref="G49:J49"/>
    <mergeCell ref="A50:B50"/>
    <mergeCell ref="C50:E50"/>
    <mergeCell ref="G50:J50"/>
    <mergeCell ref="B45:J45"/>
    <mergeCell ref="A46:J46"/>
    <mergeCell ref="A47:E47"/>
    <mergeCell ref="F47:J47"/>
    <mergeCell ref="A48:B48"/>
    <mergeCell ref="C48:E48"/>
    <mergeCell ref="G48:J48"/>
    <mergeCell ref="A36:A40"/>
    <mergeCell ref="B36:J40"/>
    <mergeCell ref="O36:P36"/>
    <mergeCell ref="O37:P37"/>
    <mergeCell ref="O38:P38"/>
    <mergeCell ref="O40:P40"/>
    <mergeCell ref="A41:A44"/>
    <mergeCell ref="B42:C42"/>
    <mergeCell ref="D42:E42"/>
    <mergeCell ref="F42:G42"/>
    <mergeCell ref="H42:I42"/>
    <mergeCell ref="B43:C43"/>
    <mergeCell ref="D43:E43"/>
    <mergeCell ref="F43:G43"/>
    <mergeCell ref="H43:I43"/>
    <mergeCell ref="B44:J44"/>
    <mergeCell ref="B41:C41"/>
    <mergeCell ref="A25:A26"/>
    <mergeCell ref="B25:J26"/>
    <mergeCell ref="A27:A28"/>
    <mergeCell ref="B27:J28"/>
    <mergeCell ref="B29:J29"/>
    <mergeCell ref="L29:Q32"/>
    <mergeCell ref="A30:A35"/>
    <mergeCell ref="B30:J35"/>
    <mergeCell ref="O34:P34"/>
    <mergeCell ref="O35:P35"/>
    <mergeCell ref="A22:A24"/>
    <mergeCell ref="B22:C22"/>
    <mergeCell ref="G22:H22"/>
    <mergeCell ref="I22:J22"/>
    <mergeCell ref="B23:C23"/>
    <mergeCell ref="G23:H23"/>
    <mergeCell ref="I23:J23"/>
    <mergeCell ref="G24:H24"/>
    <mergeCell ref="I24:J24"/>
    <mergeCell ref="R12:S12"/>
    <mergeCell ref="B15:J16"/>
    <mergeCell ref="B17:J17"/>
    <mergeCell ref="L17:L18"/>
    <mergeCell ref="M17:M18"/>
    <mergeCell ref="B18:F18"/>
    <mergeCell ref="H18:J18"/>
    <mergeCell ref="A8:A10"/>
    <mergeCell ref="B8:C8"/>
    <mergeCell ref="D8:E8"/>
    <mergeCell ref="G8:J8"/>
    <mergeCell ref="B9:J10"/>
    <mergeCell ref="A11:A19"/>
    <mergeCell ref="B11:D11"/>
    <mergeCell ref="H11:J11"/>
    <mergeCell ref="B12:J14"/>
    <mergeCell ref="B19:J19"/>
    <mergeCell ref="A5:J5"/>
    <mergeCell ref="B6:E6"/>
    <mergeCell ref="F6:G6"/>
    <mergeCell ref="H6:J6"/>
    <mergeCell ref="B7:E7"/>
    <mergeCell ref="F7:G7"/>
    <mergeCell ref="H7:J7"/>
    <mergeCell ref="A1:E1"/>
    <mergeCell ref="L1:Q2"/>
    <mergeCell ref="A2:J2"/>
    <mergeCell ref="L3:P3"/>
    <mergeCell ref="A4:B4"/>
    <mergeCell ref="C4:D4"/>
    <mergeCell ref="F4:J4"/>
    <mergeCell ref="L4:P4"/>
  </mergeCells>
  <conditionalFormatting sqref="M5:M6 O5:P5 E11 G11 H18:J18 C24:H24 P27 M28 L36:P44">
    <cfRule type="cellIs" dxfId="11" priority="1" operator="lessThan" stopIfTrue="1">
      <formula>0</formula>
    </cfRule>
  </conditionalFormatting>
  <pageMargins left="0.7" right="0.7" top="0.75" bottom="0.75" header="0.3" footer="0.3"/>
  <pageSetup firstPageNumber="1" fitToHeight="1" fitToWidth="1" scale="64" useFirstPageNumber="0" orientation="portrait" pageOrder="downThenOver"/>
  <headerFooter>
    <oddFooter>&amp;C&amp;"Helvetica Neue,Regular"&amp;12&amp;K000000&amp;P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